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17265" tabRatio="500" firstSheet="0" activeTab="0" autoFilterDateGrouping="1"/>
  </bookViews>
  <sheets>
    <sheet name="ПК АСУ ТП" sheetId="1" state="visible" r:id="rId1"/>
    <sheet name="Шкафы АСУ ТП" sheetId="2" state="visible" r:id="rId2"/>
    <sheet name="вспомогательный" sheetId="3" state="visible" r:id="rId3"/>
  </sheets>
  <definedNames>
    <definedName name="_xlnm._FilterDatabase" localSheetId="0" hidden="1">'ПК АСУ ТП'!$A$4:$K$47</definedName>
    <definedName name="_xlnm._FilterDatabase" localSheetId="1" hidden="1">'Шкафы АСУ ТП'!$A$4:$K$279</definedName>
  </definedNames>
  <calcPr calcId="162913" fullCalcOnLoad="1"/>
</workbook>
</file>

<file path=xl/styles.xml><?xml version="1.0" encoding="utf-8"?>
<styleSheet xmlns="http://schemas.openxmlformats.org/spreadsheetml/2006/main">
  <numFmts count="3">
    <numFmt numFmtId="164" formatCode="dd/mm/yy"/>
    <numFmt numFmtId="165" formatCode="#,##0.00&quot;р.&quot;;[Red]\-#,##0.00&quot;р.&quot;"/>
    <numFmt numFmtId="166" formatCode="#,##0&quot;р.&quot;;[Red]\-#,##0&quot;р.&quot;"/>
  </numFmts>
  <fonts count="13">
    <font>
      <name val="Calibri"/>
      <charset val="204"/>
      <family val="2"/>
      <color theme="1"/>
      <sz val="11"/>
    </font>
    <font>
      <name val="Calibri"/>
      <charset val="204"/>
      <family val="2"/>
      <b val="1"/>
      <color theme="1"/>
      <sz val="18"/>
    </font>
    <font>
      <name val="Calibri"/>
      <charset val="204"/>
      <family val="2"/>
      <b val="1"/>
      <color theme="1"/>
      <sz val="12"/>
    </font>
    <font>
      <name val="Calibri"/>
      <charset val="204"/>
      <family val="2"/>
      <b val="1"/>
      <i val="1"/>
      <color theme="1"/>
      <sz val="11"/>
      <u val="single"/>
    </font>
    <font>
      <name val="Calibri"/>
      <charset val="204"/>
      <family val="2"/>
      <b val="1"/>
      <color theme="3"/>
      <sz val="11"/>
    </font>
    <font>
      <name val="Calibri"/>
      <charset val="204"/>
      <family val="2"/>
      <color theme="1"/>
      <sz val="12"/>
    </font>
    <font>
      <name val="Calibri"/>
      <charset val="204"/>
      <family val="2"/>
      <b val="1"/>
      <color rgb="FFFF0000"/>
      <sz val="12"/>
    </font>
    <font>
      <name val="Calibri"/>
      <charset val="204"/>
      <family val="2"/>
      <b val="1"/>
      <color rgb="FFFFC000"/>
      <sz val="12"/>
    </font>
    <font>
      <name val="Calibri"/>
      <charset val="204"/>
      <family val="2"/>
      <b val="1"/>
      <color theme="9"/>
      <sz val="12"/>
    </font>
    <font>
      <name val="Calibri"/>
      <charset val="204"/>
      <family val="2"/>
      <b val="1"/>
      <color theme="1"/>
      <sz val="11"/>
    </font>
    <font>
      <name val="Calibri"/>
      <charset val="1"/>
      <family val="2"/>
      <color theme="1"/>
      <sz val="11"/>
    </font>
    <font>
      <name val="Calibri"/>
      <family val="2"/>
      <color theme="1"/>
      <sz val="11"/>
    </font>
    <font>
      <name val="Calibri"/>
      <charset val="204"/>
      <family val="2"/>
      <color theme="1"/>
      <sz val="11"/>
    </font>
  </fonts>
  <fills count="5">
    <fill>
      <patternFill/>
    </fill>
    <fill>
      <patternFill patternType="gray125"/>
    </fill>
    <fill>
      <patternFill patternType="solid">
        <fgColor rgb="FF004A4A"/>
        <bgColor rgb="FF003300"/>
      </patternFill>
    </fill>
    <fill>
      <patternFill patternType="solid">
        <fgColor rgb="FFFF0000"/>
        <bgColor rgb="FFCC0000"/>
      </patternFill>
    </fill>
    <fill>
      <patternFill patternType="solid">
        <fgColor rgb="FFFFFF00"/>
        <bgColor rgb="FFFFFF00"/>
      </patternFill>
    </fill>
  </fills>
  <borders count="12">
    <border>
      <left/>
      <right/>
      <top/>
      <bottom/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/>
      <right/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/>
      <bottom style="medium">
        <color theme="4" tint="0.399395733512375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1">
    <xf numFmtId="0" fontId="12" fillId="0" borderId="0"/>
    <xf numFmtId="0" fontId="12" fillId="2" borderId="0"/>
    <xf numFmtId="0" fontId="12" fillId="0" borderId="0" applyAlignment="1">
      <alignment horizontal="right"/>
    </xf>
    <xf numFmtId="0" fontId="12" fillId="0" borderId="1" applyAlignment="1">
      <alignment horizontal="right"/>
    </xf>
    <xf numFmtId="0" fontId="12" fillId="0" borderId="2" applyAlignment="1">
      <alignment horizontal="right"/>
    </xf>
    <xf numFmtId="0" fontId="12" fillId="0" borderId="3" applyAlignment="1">
      <alignment horizontal="right"/>
    </xf>
    <xf numFmtId="0" fontId="12" fillId="0" borderId="4" applyAlignment="1">
      <alignment horizontal="right"/>
    </xf>
    <xf numFmtId="0" fontId="12" fillId="0" borderId="5" applyAlignment="1">
      <alignment horizontal="right"/>
    </xf>
    <xf numFmtId="0" fontId="12" fillId="0" borderId="6" applyAlignment="1">
      <alignment horizontal="right"/>
    </xf>
    <xf numFmtId="0" fontId="12" fillId="0" borderId="7" applyAlignment="1">
      <alignment horizontal="right"/>
    </xf>
    <xf numFmtId="0" fontId="12" fillId="0" borderId="8" applyAlignment="1">
      <alignment horizontal="right"/>
    </xf>
    <xf numFmtId="0" fontId="12" fillId="0" borderId="0" applyAlignment="1">
      <alignment horizontal="right"/>
    </xf>
    <xf numFmtId="0" fontId="1" fillId="0" borderId="0"/>
    <xf numFmtId="0" fontId="2" fillId="0" borderId="0"/>
    <xf numFmtId="165" fontId="12" fillId="0" borderId="9" applyProtection="1">
      <protection locked="0" hidden="0"/>
    </xf>
    <xf numFmtId="0" fontId="12" fillId="3" borderId="0"/>
    <xf numFmtId="0" fontId="12" fillId="0" borderId="0"/>
    <xf numFmtId="0" fontId="12" fillId="0" borderId="0"/>
    <xf numFmtId="166" fontId="3" fillId="0" borderId="0"/>
    <xf numFmtId="0" fontId="4" fillId="0" borderId="0"/>
    <xf numFmtId="0" fontId="4" fillId="0" borderId="10"/>
  </cellStyleXfs>
  <cellXfs count="27">
    <xf numFmtId="0" fontId="0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0" fontId="1" fillId="0" borderId="0" pivotButton="0" quotePrefix="0" xfId="12"/>
    <xf numFmtId="0" fontId="4" fillId="0" borderId="0" pivotButton="0" quotePrefix="0" xfId="19"/>
    <xf numFmtId="164" fontId="4" fillId="0" borderId="0" pivotButton="0" quotePrefix="0" xfId="19"/>
    <xf numFmtId="0" fontId="5" fillId="0" borderId="0" pivotButton="0" quotePrefix="0" xfId="13"/>
    <xf numFmtId="0" fontId="6" fillId="0" borderId="0" pivotButton="0" quotePrefix="0" xfId="13"/>
    <xf numFmtId="0" fontId="7" fillId="0" borderId="0" pivotButton="0" quotePrefix="0" xfId="13"/>
    <xf numFmtId="0" fontId="8" fillId="0" borderId="0" pivotButton="0" quotePrefix="0" xfId="13"/>
    <xf numFmtId="0" fontId="9" fillId="0" borderId="0" applyAlignment="1" pivotButton="0" quotePrefix="0" xfId="0">
      <alignment horizontal="right"/>
    </xf>
    <xf numFmtId="0" fontId="9" fillId="0" borderId="0" pivotButton="0" quotePrefix="0" xfId="0"/>
    <xf numFmtId="0" fontId="4" fillId="0" borderId="10" pivotButton="0" quotePrefix="0" xfId="20"/>
    <xf numFmtId="164" fontId="4" fillId="0" borderId="10" pivotButton="0" quotePrefix="0" xfId="20"/>
    <xf numFmtId="0" fontId="2" fillId="0" borderId="0" pivotButton="0" quotePrefix="0" xfId="13"/>
    <xf numFmtId="164" fontId="10" fillId="0" borderId="0" pivotButton="0" quotePrefix="0" xfId="0"/>
    <xf numFmtId="0" fontId="0" fillId="0" borderId="0" pivotButton="0" quotePrefix="0" xfId="0"/>
    <xf numFmtId="0" fontId="0" fillId="0" borderId="0" pivotButton="0" quotePrefix="0" xfId="17"/>
    <xf numFmtId="0" fontId="0" fillId="4" borderId="0" pivotButton="0" quotePrefix="0" xfId="0"/>
    <xf numFmtId="164" fontId="11" fillId="0" borderId="0" pivotButton="0" quotePrefix="0" xfId="0"/>
    <xf numFmtId="0" fontId="10" fillId="0" borderId="0" pivotButton="0" quotePrefix="0" xfId="0"/>
    <xf numFmtId="0" fontId="0" fillId="0" borderId="11" applyAlignment="1" pivotButton="0" quotePrefix="0" xfId="0">
      <alignment horizontal="center" vertical="center"/>
    </xf>
    <xf numFmtId="164" fontId="0" fillId="0" borderId="0" pivotButton="0" quotePrefix="0" xfId="0"/>
    <xf numFmtId="164" fontId="4" fillId="0" borderId="0" pivotButton="0" quotePrefix="0" xfId="19"/>
    <xf numFmtId="164" fontId="4" fillId="0" borderId="10" pivotButton="0" quotePrefix="0" xfId="20"/>
    <xf numFmtId="164" fontId="10" fillId="0" borderId="0" pivotButton="0" quotePrefix="0" xfId="0"/>
    <xf numFmtId="164" fontId="11" fillId="0" borderId="0" pivotButton="0" quotePrefix="0" xfId="0"/>
  </cellXfs>
  <cellStyles count="21">
    <cellStyle name="Обычный" xfId="0" builtinId="0"/>
    <cellStyle name="Background" xfId="1"/>
    <cellStyle name="Card" xfId="2"/>
    <cellStyle name="Card B" xfId="3"/>
    <cellStyle name="Card BL" xfId="4"/>
    <cellStyle name="Card BR" xfId="5"/>
    <cellStyle name="Card L" xfId="6"/>
    <cellStyle name="Card R" xfId="7"/>
    <cellStyle name="Card T" xfId="8"/>
    <cellStyle name="Card TL" xfId="9"/>
    <cellStyle name="Card TR" xfId="10"/>
    <cellStyle name="Column Header" xfId="11"/>
    <cellStyle name="Heading 1 1" xfId="12"/>
    <cellStyle name="Heading 2 2" xfId="13"/>
    <cellStyle name="Input" xfId="14"/>
    <cellStyle name="Red BG" xfId="15"/>
    <cellStyle name="Обычный 2" xfId="16"/>
    <cellStyle name="Обычный 3" xfId="17"/>
    <cellStyle name="Результат2" xfId="18"/>
    <cellStyle name="Excel Built-in Heading 4" xfId="19"/>
    <cellStyle name="Excel Built-in Heading 3" xfId="20"/>
  </cellStyles>
  <dxfs count="18">
    <dxf>
      <font>
        <name val="Calibri"/>
        <color rgb="FF006600"/>
        <sz val="11"/>
      </font>
      <fill>
        <patternFill>
          <bgColor rgb="FFCCFFCC"/>
        </patternFill>
      </fill>
    </dxf>
    <dxf>
      <font>
        <name val="Calibri"/>
        <color rgb="FF996600"/>
        <sz val="11"/>
      </font>
      <fill>
        <patternFill>
          <bgColor rgb="FFFFFFCC"/>
        </patternFill>
      </fill>
    </dxf>
    <dxf>
      <font>
        <name val="Calibri"/>
        <color rgb="FFCC0000"/>
        <sz val="11"/>
      </font>
      <fill>
        <patternFill>
          <bgColor rgb="FFFFCCCC"/>
        </patternFill>
      </fill>
    </dxf>
    <dxf>
      <font>
        <name val="Calibri"/>
        <color rgb="FF006600"/>
        <sz val="11"/>
      </font>
      <fill>
        <patternFill>
          <bgColor rgb="FFCCFFCC"/>
        </patternFill>
      </fill>
    </dxf>
    <dxf>
      <font>
        <name val="Calibri"/>
        <color rgb="FF996600"/>
        <sz val="11"/>
      </font>
      <fill>
        <patternFill>
          <bgColor rgb="FFFFFFCC"/>
        </patternFill>
      </fill>
    </dxf>
    <dxf>
      <font>
        <name val="Calibri"/>
        <color rgb="FFCC0000"/>
        <sz val="11"/>
      </font>
      <fill>
        <patternFill>
          <bgColor rgb="FFFFCCCC"/>
        </patternFill>
      </fill>
    </dxf>
    <dxf>
      <font>
        <name val="Calibri"/>
        <color rgb="FF006600"/>
        <sz val="11"/>
      </font>
      <fill>
        <patternFill>
          <bgColor rgb="FFCCFFCC"/>
        </patternFill>
      </fill>
    </dxf>
    <dxf>
      <font>
        <name val="Calibri"/>
        <color rgb="FF996600"/>
        <sz val="11"/>
      </font>
      <fill>
        <patternFill>
          <bgColor rgb="FFFFFFCC"/>
        </patternFill>
      </fill>
    </dxf>
    <dxf>
      <font>
        <name val="Calibri"/>
        <color rgb="FFCC0000"/>
        <sz val="11"/>
      </font>
      <fill>
        <patternFill>
          <bgColor rgb="FFFFCCCC"/>
        </patternFill>
      </fill>
    </dxf>
    <dxf>
      <font>
        <name val="Calibri"/>
        <color rgb="FF006600"/>
        <sz val="11"/>
      </font>
      <fill>
        <patternFill>
          <bgColor rgb="FFCCFFCC"/>
        </patternFill>
      </fill>
    </dxf>
    <dxf>
      <font>
        <name val="Calibri"/>
        <color rgb="FF996600"/>
        <sz val="11"/>
      </font>
      <fill>
        <patternFill>
          <bgColor rgb="FFFFFFCC"/>
        </patternFill>
      </fill>
    </dxf>
    <dxf>
      <font>
        <name val="Calibri"/>
        <color rgb="FFCC0000"/>
        <sz val="11"/>
      </font>
      <fill>
        <patternFill>
          <bgColor rgb="FFFFCCCC"/>
        </patternFill>
      </fill>
    </dxf>
    <dxf>
      <font>
        <name val="Calibri"/>
        <color rgb="FF006600"/>
        <sz val="11"/>
      </font>
      <fill>
        <patternFill>
          <bgColor rgb="FFCCFFCC"/>
        </patternFill>
      </fill>
    </dxf>
    <dxf>
      <font>
        <name val="Calibri"/>
        <color rgb="FF996600"/>
        <sz val="11"/>
      </font>
      <fill>
        <patternFill>
          <bgColor rgb="FFFFFFCC"/>
        </patternFill>
      </fill>
    </dxf>
    <dxf>
      <font>
        <name val="Calibri"/>
        <color rgb="FFCC0000"/>
        <sz val="11"/>
      </font>
      <fill>
        <patternFill>
          <bgColor rgb="FFFFCCCC"/>
        </patternFill>
      </fill>
    </dxf>
    <dxf>
      <font>
        <name val="Calibri"/>
        <color rgb="FF006600"/>
        <sz val="11"/>
      </font>
      <fill>
        <patternFill>
          <bgColor rgb="FFCCFFCC"/>
        </patternFill>
      </fill>
    </dxf>
    <dxf>
      <font>
        <name val="Calibri"/>
        <color rgb="FF996600"/>
        <sz val="11"/>
      </font>
      <fill>
        <patternFill>
          <bgColor rgb="FFFFFFCC"/>
        </patternFill>
      </fill>
    </dxf>
    <dxf>
      <font>
        <name val="Calibri"/>
        <color rgb="FFCC0000"/>
        <sz val="11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CC3E6"/>
      <rgbColor rgb="FFFF99CC"/>
      <rgbColor rgb="FFCC99FF"/>
      <rgbColor rgb="FFFFCCCC"/>
      <rgbColor rgb="FF3366FF"/>
      <rgbColor rgb="FF33CCCC"/>
      <rgbColor rgb="FF99CC00"/>
      <rgbColor rgb="FFFFC000"/>
      <rgbColor rgb="FFFF9900"/>
      <rgbColor rgb="FFFF6600"/>
      <rgbColor rgb="FF44546A"/>
      <rgbColor rgb="FF70AD47"/>
      <rgbColor rgb="FF004A4A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113"/>
  <sheetViews>
    <sheetView tabSelected="1" zoomScale="120" zoomScaleNormal="120" workbookViewId="0">
      <pane ySplit="4" topLeftCell="A5" activePane="bottomLeft" state="frozen"/>
      <selection pane="bottomLeft" activeCell="C15" sqref="C15"/>
    </sheetView>
  </sheetViews>
  <sheetFormatPr baseColWidth="8" defaultColWidth="8.7109375" defaultRowHeight="15" customHeight="1"/>
  <cols>
    <col width="12.5703125" customWidth="1" style="16" min="1" max="1"/>
    <col width="16.140625" customWidth="1" style="16" min="2" max="2"/>
    <col width="28.7109375" customWidth="1" style="16" min="3" max="3"/>
    <col width="21.7109375" customWidth="1" style="16" min="4" max="4"/>
    <col width="30.42578125" customWidth="1" style="16" min="5" max="5"/>
    <col width="56.7109375" customWidth="1" style="16" min="6" max="6"/>
    <col width="21.85546875" customWidth="1" style="16" min="7" max="7"/>
    <col width="25.5703125" customWidth="1" style="16" min="8" max="8"/>
    <col width="22.42578125" customWidth="1" style="22" min="9" max="9"/>
    <col width="22.85546875" customWidth="1" style="22" min="10" max="10"/>
    <col width="13.140625" customWidth="1" style="16" min="11" max="11"/>
  </cols>
  <sheetData>
    <row r="1" ht="23.25" customHeight="1" s="16">
      <c r="A1" s="3" t="inlineStr">
        <is>
          <t>ПК АСУ ТП</t>
        </is>
      </c>
      <c r="C1" s="4" t="inlineStr">
        <is>
          <t>Всего</t>
        </is>
      </c>
      <c r="D1" s="4" t="inlineStr">
        <is>
          <t>Обслужить</t>
        </is>
      </c>
      <c r="E1" s="4" t="inlineStr">
        <is>
          <t>Внимание</t>
        </is>
      </c>
      <c r="F1" s="4" t="inlineStr">
        <is>
          <t>Не требуется</t>
        </is>
      </c>
      <c r="G1" s="23" t="n"/>
    </row>
    <row r="2" ht="23.25" customHeight="1" s="16">
      <c r="A2" s="3" t="n"/>
      <c r="C2" s="6">
        <f>COUNTA(C:C)-3</f>
        <v/>
      </c>
      <c r="D2" s="7">
        <f>COUNTIF(K:K,"ОБСЛУЖИТЬ")</f>
        <v/>
      </c>
      <c r="E2" s="8">
        <f>COUNTIF(K:K,"Внимание")</f>
        <v/>
      </c>
      <c r="F2" s="9">
        <f>COUNTIF(K:K,"Не требуется")</f>
        <v/>
      </c>
      <c r="G2" s="10" t="n"/>
    </row>
    <row r="3" ht="23.25" customHeight="1" s="16">
      <c r="A3" s="3" t="n"/>
      <c r="C3" s="6" t="n"/>
      <c r="D3" s="7" t="n"/>
      <c r="E3" s="8" t="n"/>
      <c r="F3" s="8" t="n"/>
      <c r="G3" s="9" t="n"/>
      <c r="I3" s="11" t="n"/>
    </row>
    <row r="4" ht="15.75" customHeight="1" s="16">
      <c r="A4" s="12" t="inlineStr">
        <is>
          <t>№</t>
        </is>
      </c>
      <c r="B4" s="12" t="inlineStr">
        <is>
          <t>Объект</t>
        </is>
      </c>
      <c r="C4" s="12" t="inlineStr">
        <is>
          <t>Наименование</t>
        </is>
      </c>
      <c r="D4" s="12" t="inlineStr">
        <is>
          <t>Обозначение ПК</t>
        </is>
      </c>
      <c r="E4" s="12" t="inlineStr">
        <is>
          <t>Место расположения</t>
        </is>
      </c>
      <c r="F4" s="12" t="inlineStr">
        <is>
          <t>Работы</t>
        </is>
      </c>
      <c r="G4" s="12" t="inlineStr">
        <is>
          <t>Интервал ТО (дней)</t>
        </is>
      </c>
      <c r="H4" s="12" t="inlineStr">
        <is>
          <t>Напоминание (за дней)</t>
        </is>
      </c>
      <c r="I4" s="24" t="inlineStr">
        <is>
          <t xml:space="preserve">Дата последнего ТО </t>
        </is>
      </c>
      <c r="J4" s="24" t="inlineStr">
        <is>
          <t>Дата следующего ТО</t>
        </is>
      </c>
      <c r="K4" s="12" t="inlineStr">
        <is>
          <t xml:space="preserve">Статус </t>
        </is>
      </c>
      <c r="L4" s="14" t="n"/>
      <c r="M4" s="14" t="n"/>
      <c r="N4" s="14" t="n"/>
      <c r="O4" s="14" t="n"/>
    </row>
    <row r="5">
      <c r="A5" t="n">
        <v>1</v>
      </c>
      <c r="B5" t="inlineStr">
        <is>
          <t>ЗИФ-1</t>
        </is>
      </c>
      <c r="C5" t="inlineStr">
        <is>
          <t>Операторская станция ECS</t>
        </is>
      </c>
      <c r="D5" t="inlineStr">
        <is>
          <t>ECS2261CLT01</t>
        </is>
      </c>
      <c r="E5" t="inlineStr">
        <is>
          <t>Операторская ЗИФ-1</t>
        </is>
      </c>
      <c r="F5" t="inlineStr">
        <is>
          <t>Продуть от пыли, проверить HDD, проверить батарейку MB</t>
        </is>
      </c>
      <c r="G5" t="n">
        <v>31</v>
      </c>
      <c r="H5" t="n">
        <v>3</v>
      </c>
      <c r="I5" s="25" t="n">
        <v>46025</v>
      </c>
      <c r="J5" s="22">
        <f>I5+G5</f>
        <v/>
      </c>
      <c r="K5">
        <f>IF(J5&lt;=TODAY(),"ОБСЛУЖИТЬ",IF(J5-TODAY()&lt;=H5,"Внимание","Не требуется"))</f>
        <v/>
      </c>
    </row>
    <row r="6">
      <c r="A6" t="n">
        <v>2</v>
      </c>
      <c r="B6" t="inlineStr">
        <is>
          <t>ЗИФ-1</t>
        </is>
      </c>
      <c r="C6" t="inlineStr">
        <is>
          <t>Операторская станция ECS</t>
        </is>
      </c>
      <c r="D6" t="inlineStr">
        <is>
          <t>ECS2261CLT02</t>
        </is>
      </c>
      <c r="E6" t="inlineStr">
        <is>
          <t>Операторская ЗИФ-1</t>
        </is>
      </c>
      <c r="F6" t="inlineStr">
        <is>
          <t>Продуть от пыли, проверить HDD, проверить батарейку MB</t>
        </is>
      </c>
      <c r="G6" t="n">
        <v>31</v>
      </c>
      <c r="H6" t="n">
        <v>3</v>
      </c>
      <c r="I6" s="25" t="n">
        <v>46025</v>
      </c>
      <c r="J6" s="22">
        <f>I6+G6</f>
        <v/>
      </c>
      <c r="K6">
        <f>IF(J6&lt;=TODAY(),"ОБСЛУЖИТЬ",IF(J6-TODAY()&lt;=H6,"Внимание","Не требуется"))</f>
        <v/>
      </c>
    </row>
    <row r="7">
      <c r="A7" t="n">
        <v>3</v>
      </c>
      <c r="B7" t="inlineStr">
        <is>
          <t>ККД-1</t>
        </is>
      </c>
      <c r="C7" t="inlineStr">
        <is>
          <t>Операторская станция ECS</t>
        </is>
      </c>
      <c r="D7" s="17" t="inlineStr">
        <is>
          <t>ECS2261CLT03</t>
        </is>
      </c>
      <c r="E7" t="inlineStr">
        <is>
          <t>Операторская ККД-1</t>
        </is>
      </c>
      <c r="F7" t="inlineStr">
        <is>
          <t>Продуть от пыли, проверить HDD, проверить батарейку MB</t>
        </is>
      </c>
      <c r="G7" t="n">
        <v>31</v>
      </c>
      <c r="H7" t="n">
        <v>3</v>
      </c>
      <c r="I7" s="22" t="n">
        <v>46031.2647009375</v>
      </c>
      <c r="J7" s="22">
        <f>I7+G7</f>
        <v/>
      </c>
      <c r="K7">
        <f>IF(J7&lt;=TODAY(),"ОБСЛУЖИТЬ",IF(J7-TODAY()&lt;=H7,"Внимание","Не требуется"))</f>
        <v/>
      </c>
    </row>
    <row r="8">
      <c r="A8" t="n">
        <v>4</v>
      </c>
      <c r="B8" t="inlineStr">
        <is>
          <t>ЗИФ-1</t>
        </is>
      </c>
      <c r="C8" t="inlineStr">
        <is>
          <t>Операторская станция ECS</t>
        </is>
      </c>
      <c r="D8" s="17" t="inlineStr">
        <is>
          <t>ECS2261CLT04</t>
        </is>
      </c>
      <c r="E8" t="inlineStr">
        <is>
          <t>Операторская Флотация</t>
        </is>
      </c>
      <c r="F8" t="inlineStr">
        <is>
          <t>Продуть от пыли, проверить HDD, проверить батарейку MB</t>
        </is>
      </c>
      <c r="G8" t="n">
        <v>62</v>
      </c>
      <c r="H8" t="n">
        <v>3</v>
      </c>
      <c r="I8" s="22" t="n">
        <v>46027</v>
      </c>
      <c r="J8" s="22">
        <f>I8+G8</f>
        <v/>
      </c>
      <c r="K8">
        <f>IF(J8&lt;=TODAY(),"ОБСЛУЖИТЬ",IF(J8-TODAY()&lt;=H8,"Внимание","Не требуется"))</f>
        <v/>
      </c>
    </row>
    <row r="9">
      <c r="A9" t="n">
        <v>5</v>
      </c>
      <c r="B9" t="inlineStr">
        <is>
          <t>ПНС-2</t>
        </is>
      </c>
      <c r="C9" t="inlineStr">
        <is>
          <t>Операторская станция ECS</t>
        </is>
      </c>
      <c r="D9" s="17" t="inlineStr">
        <is>
          <t>ECS2261CLT05</t>
        </is>
      </c>
      <c r="E9" t="inlineStr">
        <is>
          <t>Операторская ПНС-2</t>
        </is>
      </c>
      <c r="F9" t="inlineStr">
        <is>
          <t>Продуть от пыли, проверить HDD, проверить батарейку MB</t>
        </is>
      </c>
      <c r="G9" t="n">
        <v>62</v>
      </c>
      <c r="H9" t="n">
        <v>3</v>
      </c>
      <c r="I9" s="22" t="n">
        <v>46031.26437233797</v>
      </c>
      <c r="J9" s="22">
        <f>I9+G9</f>
        <v/>
      </c>
      <c r="K9">
        <f>IF(J9&lt;=TODAY(),"ОБСЛУЖИТЬ",IF(J9-TODAY()&lt;=H9,"Внимание","Не требуется"))</f>
        <v/>
      </c>
    </row>
    <row r="10">
      <c r="A10" t="n">
        <v>6</v>
      </c>
      <c r="B10" t="inlineStr">
        <is>
          <t>ЗИФ-1</t>
        </is>
      </c>
      <c r="C10" t="inlineStr">
        <is>
          <t>Операторская станция ECS</t>
        </is>
      </c>
      <c r="D10" t="inlineStr">
        <is>
          <t>ECS2261CLT06</t>
        </is>
      </c>
      <c r="E10" t="inlineStr">
        <is>
          <t>Операторская Сорбции</t>
        </is>
      </c>
      <c r="F10" t="inlineStr">
        <is>
          <t>Продуть от пыли, проверить HDD, проверить батарейку MB</t>
        </is>
      </c>
      <c r="G10" t="n">
        <v>31</v>
      </c>
      <c r="H10" t="n">
        <v>3</v>
      </c>
      <c r="I10" s="25" t="n">
        <v>46025</v>
      </c>
      <c r="J10" s="22">
        <f>I10+G10</f>
        <v/>
      </c>
      <c r="K10">
        <f>IF(J10&lt;=TODAY(),"ОБСЛУЖИТЬ",IF(J10-TODAY()&lt;=H10,"Внимание","Не требуется"))</f>
        <v/>
      </c>
    </row>
    <row r="11">
      <c r="A11" t="n">
        <v>7</v>
      </c>
      <c r="B11" t="inlineStr">
        <is>
          <t>ЗИФ-1</t>
        </is>
      </c>
      <c r="C11" t="inlineStr">
        <is>
          <t>Сервер ECS</t>
        </is>
      </c>
      <c r="D11" t="inlineStr">
        <is>
          <t>ECS2261SVR01</t>
        </is>
      </c>
      <c r="E11" t="inlineStr">
        <is>
          <t>Серверная АСУТП (флотация)</t>
        </is>
      </c>
      <c r="F11" t="inlineStr">
        <is>
          <t>Продуть от пыли, проверить RAID/HDD</t>
        </is>
      </c>
      <c r="G11" t="n">
        <v>92</v>
      </c>
      <c r="H11" t="n">
        <v>3</v>
      </c>
      <c r="I11" s="25" t="n">
        <v>45946</v>
      </c>
      <c r="J11" s="22">
        <f>I11+G11</f>
        <v/>
      </c>
      <c r="K11">
        <f>IF(J11&lt;=TODAY(),"ОБСЛУЖИТЬ",IF(J11-TODAY()&lt;=H11,"Внимание","Не требуется"))</f>
        <v/>
      </c>
    </row>
    <row r="12">
      <c r="A12" t="n">
        <v>8</v>
      </c>
      <c r="B12" t="inlineStr">
        <is>
          <t>ЗИФ-1</t>
        </is>
      </c>
      <c r="C12" t="inlineStr">
        <is>
          <t>Сервер ECS</t>
        </is>
      </c>
      <c r="D12" t="inlineStr">
        <is>
          <t>ECS2261SVR02</t>
        </is>
      </c>
      <c r="E12" t="inlineStr">
        <is>
          <t>Серверная АСУТП (флотация)</t>
        </is>
      </c>
      <c r="F12" t="inlineStr">
        <is>
          <t>Продуть от пыли, проверить RAID/HDD</t>
        </is>
      </c>
      <c r="G12" t="n">
        <v>92</v>
      </c>
      <c r="H12" t="n">
        <v>3</v>
      </c>
      <c r="I12" s="25" t="n">
        <v>45946</v>
      </c>
      <c r="J12" s="22">
        <f>I12+G12</f>
        <v/>
      </c>
      <c r="K12">
        <f>IF(J12&lt;=TODAY(),"ОБСЛУЖИТЬ",IF(J12-TODAY()&lt;=H12,"Внимание","Не требуется"))</f>
        <v/>
      </c>
    </row>
    <row r="13">
      <c r="A13" t="n">
        <v>9</v>
      </c>
      <c r="B13" t="inlineStr">
        <is>
          <t>ЗИФ-1</t>
        </is>
      </c>
      <c r="C13" t="inlineStr">
        <is>
          <t>Сервер Гравитон</t>
        </is>
      </c>
      <c r="D13" t="inlineStr">
        <is>
          <t>Rocket Control SVR</t>
        </is>
      </c>
      <c r="E13" t="inlineStr">
        <is>
          <t>Серверная АСУТП (флотация)</t>
        </is>
      </c>
      <c r="F13" t="inlineStr">
        <is>
          <t>Продуть от пыли, проверить  HDD</t>
        </is>
      </c>
      <c r="G13" t="n">
        <v>90</v>
      </c>
      <c r="H13" t="n">
        <v>3</v>
      </c>
      <c r="I13" s="25" t="n">
        <v>46028</v>
      </c>
      <c r="J13" s="22">
        <f>I13+G13</f>
        <v/>
      </c>
      <c r="K13">
        <f>IF(J13&lt;=TODAY(),"ОБСЛУЖИТЬ",IF(J13-TODAY()&lt;=H13,"Внимание","Не требуется"))</f>
        <v/>
      </c>
    </row>
    <row r="14">
      <c r="A14" t="n">
        <v>10</v>
      </c>
      <c r="B14" t="inlineStr">
        <is>
          <t>ЗИФ-1</t>
        </is>
      </c>
      <c r="C14" t="inlineStr">
        <is>
          <t>Рабочая станция</t>
        </is>
      </c>
      <c r="D14" t="inlineStr">
        <is>
          <t>ECS2261REM01</t>
        </is>
      </c>
      <c r="E14" t="inlineStr">
        <is>
          <t>Серверная АСУТП (флотация)</t>
        </is>
      </c>
      <c r="F14" t="inlineStr">
        <is>
          <t>Продуть от пыли, проверить RAID/HDD</t>
        </is>
      </c>
      <c r="G14" t="n">
        <v>92</v>
      </c>
      <c r="H14" t="n">
        <v>3</v>
      </c>
      <c r="I14" s="25" t="n">
        <v>45946</v>
      </c>
      <c r="J14" s="22">
        <f>I14+G14</f>
        <v/>
      </c>
      <c r="K14">
        <f>IF(J14&lt;=TODAY(),"ОБСЛУЖИТЬ",IF(J14-TODAY()&lt;=H14,"Внимание","Не требуется"))</f>
        <v/>
      </c>
    </row>
    <row r="15">
      <c r="A15" t="n">
        <v>11</v>
      </c>
      <c r="B15" t="inlineStr">
        <is>
          <t>ЗИФ-1</t>
        </is>
      </c>
      <c r="C15" t="inlineStr">
        <is>
          <t>Сервер виртуальных машин</t>
        </is>
      </c>
      <c r="D15" t="inlineStr">
        <is>
          <t>ESXi-1</t>
        </is>
      </c>
      <c r="E15" t="inlineStr">
        <is>
          <t>Серверная АСУТП (флотация)</t>
        </is>
      </c>
      <c r="F15" t="inlineStr">
        <is>
          <t>Продуть от пыли, проверить HDD</t>
        </is>
      </c>
      <c r="G15" t="n">
        <v>92</v>
      </c>
      <c r="H15" t="n">
        <v>3</v>
      </c>
      <c r="I15" s="25" t="n">
        <v>45946</v>
      </c>
      <c r="J15" s="22">
        <f>I15+G15</f>
        <v/>
      </c>
      <c r="K15">
        <f>IF(J15&lt;=TODAY(),"ОБСЛУЖИТЬ",IF(J15-TODAY()&lt;=H15,"Внимание","Не требуется"))</f>
        <v/>
      </c>
    </row>
    <row r="16">
      <c r="A16" t="n">
        <v>12</v>
      </c>
      <c r="B16" t="inlineStr">
        <is>
          <t>ЗИФ-1</t>
        </is>
      </c>
      <c r="C16" t="inlineStr">
        <is>
          <t>Сервер виртуальных машин</t>
        </is>
      </c>
      <c r="D16" t="inlineStr">
        <is>
          <t>ESXi-2</t>
        </is>
      </c>
      <c r="E16" t="inlineStr">
        <is>
          <t>Серверная АСУТП (флотация)</t>
        </is>
      </c>
      <c r="F16" t="inlineStr">
        <is>
          <t>Продуть от пыли, проверить HDD</t>
        </is>
      </c>
      <c r="G16" t="n">
        <v>92</v>
      </c>
      <c r="H16" t="n">
        <v>3</v>
      </c>
      <c r="I16" s="25" t="n">
        <v>45946</v>
      </c>
      <c r="J16" s="22">
        <f>I16+G16</f>
        <v/>
      </c>
      <c r="K16">
        <f>IF(J16&lt;=TODAY(),"ОБСЛУЖИТЬ",IF(J16-TODAY()&lt;=H16,"Внимание","Не требуется"))</f>
        <v/>
      </c>
    </row>
    <row r="17">
      <c r="A17" t="n">
        <v>13</v>
      </c>
      <c r="B17" t="inlineStr">
        <is>
          <t>ЗИФ-1</t>
        </is>
      </c>
      <c r="C17" t="inlineStr">
        <is>
          <t>Сервер виртуальных машин</t>
        </is>
      </c>
      <c r="D17" t="inlineStr">
        <is>
          <t>ESXi-3</t>
        </is>
      </c>
      <c r="E17" t="inlineStr">
        <is>
          <t>Серверная АСУТП (флотация)</t>
        </is>
      </c>
      <c r="F17" t="inlineStr">
        <is>
          <t>Продуть от пыли, проверить HDD</t>
        </is>
      </c>
      <c r="G17" t="n">
        <v>92</v>
      </c>
      <c r="H17" t="n">
        <v>3</v>
      </c>
      <c r="I17" s="25" t="n">
        <v>45946</v>
      </c>
      <c r="J17" s="22">
        <f>I17+G17</f>
        <v/>
      </c>
      <c r="K17">
        <f>IF(J17&lt;=TODAY(),"ОБСЛУЖИТЬ",IF(J17-TODAY()&lt;=H17,"Внимание","Не требуется"))</f>
        <v/>
      </c>
    </row>
    <row r="18">
      <c r="A18" t="n">
        <v>14</v>
      </c>
      <c r="B18" t="inlineStr">
        <is>
          <t>ЗИФ-1</t>
        </is>
      </c>
      <c r="C18" t="inlineStr">
        <is>
          <t>Сервер виртуальных машин</t>
        </is>
      </c>
      <c r="D18" t="inlineStr">
        <is>
          <t>ESXi-4</t>
        </is>
      </c>
      <c r="E18" t="inlineStr">
        <is>
          <t>Серверная АСУТП (флотация)</t>
        </is>
      </c>
      <c r="F18" t="inlineStr">
        <is>
          <t>Продуть от пыли, проверить HDD</t>
        </is>
      </c>
      <c r="G18" t="n">
        <v>92</v>
      </c>
      <c r="H18" t="n">
        <v>3</v>
      </c>
      <c r="I18" s="25" t="n">
        <v>45946</v>
      </c>
      <c r="J18" s="22">
        <f>I18+G18</f>
        <v/>
      </c>
      <c r="K18">
        <f>IF(J18&lt;=TODAY(),"ОБСЛУЖИТЬ",IF(J18-TODAY()&lt;=H18,"Внимание","Не требуется"))</f>
        <v/>
      </c>
    </row>
    <row r="19">
      <c r="A19" t="n">
        <v>15</v>
      </c>
      <c r="B19" t="inlineStr">
        <is>
          <t>ЗИФ-1</t>
        </is>
      </c>
      <c r="C19" t="inlineStr">
        <is>
          <t>Сервер виртуальных машин</t>
        </is>
      </c>
      <c r="D19" t="inlineStr">
        <is>
          <t>ESXi-5</t>
        </is>
      </c>
      <c r="E19" t="inlineStr">
        <is>
          <t>Серверная АСУТП (флотация)</t>
        </is>
      </c>
      <c r="F19" t="inlineStr">
        <is>
          <t>Продуть от пыли, проверить HDD</t>
        </is>
      </c>
      <c r="G19" t="n">
        <v>92</v>
      </c>
      <c r="H19" t="n">
        <v>3</v>
      </c>
      <c r="I19" s="25" t="n">
        <v>45946</v>
      </c>
      <c r="J19" s="22">
        <f>I19+G19</f>
        <v/>
      </c>
      <c r="K19">
        <f>IF(J19&lt;=TODAY(),"ОБСЛУЖИТЬ",IF(J19-TODAY()&lt;=H19,"Внимание","Не требуется"))</f>
        <v/>
      </c>
    </row>
    <row r="20">
      <c r="A20" t="n">
        <v>16</v>
      </c>
      <c r="B20" t="inlineStr">
        <is>
          <t>ЗИФ-1</t>
        </is>
      </c>
      <c r="C20" t="inlineStr">
        <is>
          <t>Сервер PlantGuide</t>
        </is>
      </c>
      <c r="D20" s="17" t="inlineStr">
        <is>
          <t>PLG2261SVR01</t>
        </is>
      </c>
      <c r="E20" t="inlineStr">
        <is>
          <t>Серверная АСУТП (флотация)</t>
        </is>
      </c>
      <c r="F20" t="inlineStr">
        <is>
          <t>Продуть от пыли, проверить RAID/HDD</t>
        </is>
      </c>
      <c r="G20" t="n">
        <v>90</v>
      </c>
      <c r="H20" t="n">
        <v>3</v>
      </c>
      <c r="I20" s="25" t="n">
        <v>46028</v>
      </c>
      <c r="J20" s="22">
        <f>I20+G20</f>
        <v/>
      </c>
      <c r="K20">
        <f>IF(J20&lt;=TODAY(),"ОБСЛУЖИТЬ",IF(J20-TODAY()&lt;=H20,"Внимание","Не требуется"))</f>
        <v/>
      </c>
    </row>
    <row r="21">
      <c r="A21" t="n">
        <v>17</v>
      </c>
      <c r="B21" t="inlineStr">
        <is>
          <t>ЗИФ-1</t>
        </is>
      </c>
      <c r="C21" t="inlineStr">
        <is>
          <t>Рабочая станция</t>
        </is>
      </c>
      <c r="D21" t="inlineStr">
        <is>
          <t>10.100.59.20</t>
        </is>
      </c>
      <c r="E21" t="inlineStr">
        <is>
          <t>Серверная АСУТП флотация</t>
        </is>
      </c>
      <c r="F21" t="inlineStr">
        <is>
          <t>Продуть от пыли, проверить HDD</t>
        </is>
      </c>
      <c r="G21" t="n">
        <v>62</v>
      </c>
      <c r="H21" t="n">
        <v>3</v>
      </c>
      <c r="I21" s="22" t="n">
        <v>45966</v>
      </c>
      <c r="J21" s="22">
        <f>I21+G21</f>
        <v/>
      </c>
      <c r="K21">
        <f>IF(J21&lt;=TODAY(),"ОБСЛУЖИТЬ",IF(J21-TODAY()&lt;=H21,"Внимание","Не требуется"))</f>
        <v/>
      </c>
    </row>
    <row r="22">
      <c r="A22" t="n">
        <v>18</v>
      </c>
      <c r="B22" t="inlineStr">
        <is>
          <t>ЗИФ-1</t>
        </is>
      </c>
      <c r="C22" t="inlineStr">
        <is>
          <t>Операторская станция</t>
        </is>
      </c>
      <c r="D22" t="inlineStr">
        <is>
          <t>АРМ ACACIA</t>
        </is>
      </c>
      <c r="E22" t="inlineStr">
        <is>
          <t>Будка операторская АКАЦИИ</t>
        </is>
      </c>
      <c r="F22" t="inlineStr">
        <is>
          <t>Продуть от пыли, проверить HDD</t>
        </is>
      </c>
      <c r="G22" t="n">
        <v>31</v>
      </c>
      <c r="H22" t="n">
        <v>3</v>
      </c>
      <c r="I22" s="25" t="n">
        <v>46027</v>
      </c>
      <c r="J22" s="22">
        <f>I22+G22</f>
        <v/>
      </c>
      <c r="K22">
        <f>IF(J22&lt;=TODAY(),"ОБСЛУЖИТЬ",IF(J22-TODAY()&lt;=H22,"Внимание","Не требуется"))</f>
        <v/>
      </c>
    </row>
    <row r="23">
      <c r="A23" t="n">
        <v>19</v>
      </c>
      <c r="B23" t="inlineStr">
        <is>
          <t>ЗИФ-1</t>
        </is>
      </c>
      <c r="C23" t="inlineStr">
        <is>
          <t>Ноутбук</t>
        </is>
      </c>
      <c r="D23" t="inlineStr">
        <is>
          <t>MSI Katana</t>
        </is>
      </c>
      <c r="E23" t="inlineStr">
        <is>
          <t>Серверная АСУТП (флотация)</t>
        </is>
      </c>
      <c r="F23" t="inlineStr">
        <is>
          <t>Продуть от пыли, проверить HDD, проверить вентиляторы</t>
        </is>
      </c>
      <c r="G23" t="n">
        <v>62</v>
      </c>
      <c r="H23" t="n">
        <v>3</v>
      </c>
      <c r="I23" s="22" t="n">
        <v>46027</v>
      </c>
      <c r="J23" s="22">
        <f>I23+G23</f>
        <v/>
      </c>
      <c r="K23">
        <f>IF(J23&lt;=TODAY(),"ОБСЛУЖИТЬ",IF(J23-TODAY()&lt;=H23,"Внимание","Не требуется"))</f>
        <v/>
      </c>
    </row>
    <row r="24">
      <c r="A24" t="n">
        <v>20</v>
      </c>
      <c r="B24" t="inlineStr">
        <is>
          <t>ЗИФ-1</t>
        </is>
      </c>
      <c r="C24" t="inlineStr">
        <is>
          <t>Trassir Сервер</t>
        </is>
      </c>
      <c r="D24" t="inlineStr">
        <is>
          <t>ZIF-1-Trassir-1</t>
        </is>
      </c>
      <c r="E24" t="inlineStr">
        <is>
          <t>Серверная АСУТП (флотация)</t>
        </is>
      </c>
      <c r="F24" t="inlineStr">
        <is>
          <t>Продуть от пыли</t>
        </is>
      </c>
      <c r="G24" t="n">
        <v>90</v>
      </c>
      <c r="H24" t="n">
        <v>3</v>
      </c>
      <c r="I24" s="22" t="n">
        <v>46027</v>
      </c>
      <c r="J24" s="22">
        <f>I24+G24</f>
        <v/>
      </c>
      <c r="K24">
        <f>IF(J24&lt;=TODAY(),"ОБСЛУЖИТЬ",IF(J24-TODAY()&lt;=H24,"Внимание","Не требуется"))</f>
        <v/>
      </c>
    </row>
    <row r="25">
      <c r="A25" t="n">
        <v>21</v>
      </c>
      <c r="B25" t="inlineStr">
        <is>
          <t>ККД-1</t>
        </is>
      </c>
      <c r="C25" t="inlineStr">
        <is>
          <t>Видеорегистратор</t>
        </is>
      </c>
      <c r="D25" t="inlineStr">
        <is>
          <t>HiWatch</t>
        </is>
      </c>
      <c r="E25" t="inlineStr">
        <is>
          <t>Операторская ККД-1</t>
        </is>
      </c>
      <c r="F25" t="inlineStr">
        <is>
          <t>Продуть от пыли</t>
        </is>
      </c>
      <c r="G25" t="n">
        <v>31</v>
      </c>
      <c r="H25" t="n">
        <v>3</v>
      </c>
      <c r="I25" s="22" t="n">
        <v>46031.26470232639</v>
      </c>
      <c r="J25" s="22">
        <f>I25+G25</f>
        <v/>
      </c>
      <c r="K25">
        <f>IF(J25&lt;=TODAY(),"ОБСЛУЖИТЬ",IF(J25-TODAY()&lt;=H25,"Внимание","Не требуется"))</f>
        <v/>
      </c>
    </row>
    <row r="26">
      <c r="A26" t="n">
        <v>22</v>
      </c>
      <c r="B26" t="inlineStr">
        <is>
          <t>ЗИФ-1</t>
        </is>
      </c>
      <c r="C26" t="inlineStr">
        <is>
          <t>Клиентская станция</t>
        </is>
      </c>
      <c r="D26" t="inlineStr">
        <is>
          <t>Trassir Client</t>
        </is>
      </c>
      <c r="E26" t="inlineStr">
        <is>
          <t>Операторская ЗИФ-1</t>
        </is>
      </c>
      <c r="F26" t="inlineStr">
        <is>
          <t>Продуть от пыли, проверить HDD</t>
        </is>
      </c>
      <c r="G26" t="n">
        <v>31</v>
      </c>
      <c r="H26" t="n">
        <v>3</v>
      </c>
      <c r="I26" s="25" t="n">
        <v>46025</v>
      </c>
      <c r="J26" s="22">
        <f>I26+G26</f>
        <v/>
      </c>
      <c r="K26">
        <f>IF(J26&lt;=TODAY(),"ОБСЛУЖИТЬ",IF(J26-TODAY()&lt;=H26,"Внимание","Не требуется"))</f>
        <v/>
      </c>
    </row>
    <row r="27">
      <c r="A27" t="n">
        <v>23</v>
      </c>
      <c r="B27" t="inlineStr">
        <is>
          <t>ЗИФ-2</t>
        </is>
      </c>
      <c r="C27" t="inlineStr">
        <is>
          <t>Сервер ECS</t>
        </is>
      </c>
      <c r="D27" t="inlineStr">
        <is>
          <t>842SVR01A01</t>
        </is>
      </c>
      <c r="E27" t="inlineStr">
        <is>
          <t>Серверная АСУТП</t>
        </is>
      </c>
      <c r="F27" t="inlineStr">
        <is>
          <t>Продуть от пыли, проверить RAID/HDD</t>
        </is>
      </c>
      <c r="G27" t="n">
        <v>31</v>
      </c>
      <c r="H27" t="n">
        <v>3</v>
      </c>
      <c r="I27" s="22" t="n">
        <v>46031.26339525463</v>
      </c>
      <c r="J27" s="22">
        <f>I27+G27</f>
        <v/>
      </c>
      <c r="K27">
        <f>IF(J27&lt;=TODAY(),"ОБСЛУЖИТЬ",IF(J27-TODAY()&lt;=H27,"Внимание","Не требуется"))</f>
        <v/>
      </c>
    </row>
    <row r="28">
      <c r="A28" t="n">
        <v>24</v>
      </c>
      <c r="B28" t="inlineStr">
        <is>
          <t>ЗИФ-2</t>
        </is>
      </c>
      <c r="C28" t="inlineStr">
        <is>
          <t>Сервер ECS</t>
        </is>
      </c>
      <c r="D28" t="inlineStr">
        <is>
          <t>842SVR02A01</t>
        </is>
      </c>
      <c r="E28" t="inlineStr">
        <is>
          <t>Серверная АСУТП</t>
        </is>
      </c>
      <c r="F28" t="inlineStr">
        <is>
          <t>Продуть от пыли, проверить RAID/HDD</t>
        </is>
      </c>
      <c r="G28" t="n">
        <v>31</v>
      </c>
      <c r="H28" t="n">
        <v>3</v>
      </c>
      <c r="I28" s="22" t="n">
        <v>45995</v>
      </c>
      <c r="J28" s="22">
        <f>I28+G28</f>
        <v/>
      </c>
      <c r="K28">
        <f>IF(J28&lt;=TODAY(),"ОБСЛУЖИТЬ",IF(J28-TODAY()&lt;=H28,"Внимание","Не требуется"))</f>
        <v/>
      </c>
    </row>
    <row r="29">
      <c r="A29" t="n">
        <v>25</v>
      </c>
      <c r="B29" t="inlineStr">
        <is>
          <t>ЗИФ-2</t>
        </is>
      </c>
      <c r="C29" t="inlineStr">
        <is>
          <t>Сервер PDM</t>
        </is>
      </c>
      <c r="D29" t="inlineStr">
        <is>
          <t>846SVR01A01</t>
        </is>
      </c>
      <c r="E29" t="inlineStr">
        <is>
          <t>Серверная АСУТП</t>
        </is>
      </c>
      <c r="F29" t="inlineStr">
        <is>
          <t>Продуть от пыли, проверить RAID/HDD</t>
        </is>
      </c>
      <c r="G29" t="n">
        <v>62</v>
      </c>
      <c r="H29" t="n">
        <v>3</v>
      </c>
      <c r="I29" s="22" t="n">
        <v>45995</v>
      </c>
      <c r="J29" s="22">
        <f>I29+G29</f>
        <v/>
      </c>
      <c r="K29">
        <f>IF(J29&lt;=TODAY(),"ОБСЛУЖИТЬ",IF(J29-TODAY()&lt;=H29,"Внимание","Не требуется"))</f>
        <v/>
      </c>
    </row>
    <row r="30">
      <c r="A30" t="n">
        <v>26</v>
      </c>
      <c r="B30" t="inlineStr">
        <is>
          <t>ЗИФ-2</t>
        </is>
      </c>
      <c r="C30" t="inlineStr">
        <is>
          <t>Сервер видеонаблюдение</t>
        </is>
      </c>
      <c r="D30" t="inlineStr">
        <is>
          <t>ZIF-2-Trassir-1</t>
        </is>
      </c>
      <c r="E30" t="inlineStr">
        <is>
          <t>Серверная АСУТП</t>
        </is>
      </c>
      <c r="F30" t="inlineStr">
        <is>
          <t>Продуть от пыли</t>
        </is>
      </c>
      <c r="G30" t="n">
        <v>31</v>
      </c>
      <c r="H30" t="n">
        <v>3</v>
      </c>
      <c r="I30" s="22" t="n">
        <v>45995</v>
      </c>
      <c r="J30" s="22">
        <f>I30+G30</f>
        <v/>
      </c>
      <c r="K30">
        <f>IF(J30&lt;=TODAY(),"ОБСЛУЖИТЬ",IF(J30-TODAY()&lt;=H30,"Внимание","Не требуется"))</f>
        <v/>
      </c>
    </row>
    <row r="31">
      <c r="A31" t="n">
        <v>27</v>
      </c>
      <c r="B31" t="inlineStr">
        <is>
          <t>ЗИФ-2</t>
        </is>
      </c>
      <c r="C31" t="inlineStr">
        <is>
          <t>Инженерная станция</t>
        </is>
      </c>
      <c r="D31" t="inlineStr">
        <is>
          <t>842ENG03A01</t>
        </is>
      </c>
      <c r="E31" s="18" t="inlineStr">
        <is>
          <t>Серверная АСУТП ???</t>
        </is>
      </c>
      <c r="F31" t="inlineStr">
        <is>
          <t>Продуть от пыли, проверить HDD</t>
        </is>
      </c>
      <c r="G31" t="n">
        <v>31</v>
      </c>
      <c r="H31" t="n">
        <v>3</v>
      </c>
      <c r="I31" s="22" t="n">
        <v>45995</v>
      </c>
      <c r="J31" s="22">
        <f>I31+G31</f>
        <v/>
      </c>
      <c r="K31">
        <f>IF(J31&lt;=TODAY(),"ОБСЛУЖИТЬ",IF(J31-TODAY()&lt;=H31,"Внимание","Не требуется"))</f>
        <v/>
      </c>
    </row>
    <row r="32">
      <c r="A32" t="n">
        <v>28</v>
      </c>
      <c r="B32" t="inlineStr">
        <is>
          <t>ЗИФ-2</t>
        </is>
      </c>
      <c r="C32" t="inlineStr">
        <is>
          <t>ECS клиент REM02</t>
        </is>
      </c>
      <c r="D32" t="inlineStr">
        <is>
          <t>PC Rem02</t>
        </is>
      </c>
      <c r="E32" t="inlineStr">
        <is>
          <t>Серверная АСУТП</t>
        </is>
      </c>
      <c r="F32" t="inlineStr">
        <is>
          <t>Продуть от пыли, проверить HDD</t>
        </is>
      </c>
      <c r="G32" t="n">
        <v>31</v>
      </c>
      <c r="H32" t="n">
        <v>3</v>
      </c>
      <c r="I32" s="22" t="n">
        <v>45995</v>
      </c>
      <c r="J32" s="22">
        <f>I32+G32</f>
        <v/>
      </c>
      <c r="K32">
        <f>IF(J32&lt;=TODAY(),"ОБСЛУЖИТЬ",IF(J32-TODAY()&lt;=H32,"Внимание","Не требуется"))</f>
        <v/>
      </c>
    </row>
    <row r="33">
      <c r="A33" t="n">
        <v>29</v>
      </c>
      <c r="B33" t="inlineStr">
        <is>
          <t>ЗИФ-2</t>
        </is>
      </c>
      <c r="C33" t="inlineStr">
        <is>
          <t>Ноутбук Dell</t>
        </is>
      </c>
      <c r="D33" t="inlineStr">
        <is>
          <t>842ENG04A01</t>
        </is>
      </c>
      <c r="E33" t="inlineStr">
        <is>
          <t>Начальник АСУТП</t>
        </is>
      </c>
      <c r="F33" t="inlineStr">
        <is>
          <t>Продуть от пыли, проверить HDD, проверить вентиляторы</t>
        </is>
      </c>
      <c r="G33" t="n">
        <v>62</v>
      </c>
      <c r="H33" t="n">
        <v>3</v>
      </c>
      <c r="I33" s="22" t="n">
        <v>46021</v>
      </c>
      <c r="J33" s="22">
        <f>I33+G33</f>
        <v/>
      </c>
      <c r="K33">
        <f>IF(J33&lt;=TODAY(),"ОБСЛУЖИТЬ",IF(J33-TODAY()&lt;=H33,"Внимание","Не требуется"))</f>
        <v/>
      </c>
    </row>
    <row r="34">
      <c r="A34" t="n">
        <v>30</v>
      </c>
      <c r="B34" t="inlineStr">
        <is>
          <t>ЗИФ-2</t>
        </is>
      </c>
      <c r="C34" t="inlineStr">
        <is>
          <t>Ноутбук MSI</t>
        </is>
      </c>
      <c r="D34" t="inlineStr">
        <is>
          <t>MSI Catana МГ-001587</t>
        </is>
      </c>
      <c r="E34" t="inlineStr">
        <is>
          <t>Кабинет АСУТП</t>
        </is>
      </c>
      <c r="F34" t="inlineStr">
        <is>
          <t>Продуть от пыли, проверить HDD, проверить вентиляторы</t>
        </is>
      </c>
      <c r="G34" t="n">
        <v>62</v>
      </c>
      <c r="H34" t="n">
        <v>3</v>
      </c>
      <c r="I34" s="22" t="n">
        <v>45984</v>
      </c>
      <c r="J34" s="22">
        <f>I34+G34</f>
        <v/>
      </c>
      <c r="K34">
        <f>IF(J34&lt;=TODAY(),"ОБСЛУЖИТЬ",IF(J34-TODAY()&lt;=H34,"Внимание","Не требуется"))</f>
        <v/>
      </c>
    </row>
    <row r="35">
      <c r="A35" t="n">
        <v>31</v>
      </c>
      <c r="B35" t="inlineStr">
        <is>
          <t>ЗИФ-2</t>
        </is>
      </c>
      <c r="C35" t="inlineStr">
        <is>
          <t>Операторская станция ECS</t>
        </is>
      </c>
      <c r="D35" t="inlineStr">
        <is>
          <t>ECS5072CLT01</t>
        </is>
      </c>
      <c r="E35" t="inlineStr">
        <is>
          <t>Операторская ЗИФ-2</t>
        </is>
      </c>
      <c r="F35" t="inlineStr">
        <is>
          <t>Продуть от пыли, проверить HDD, проверить батарейку MB</t>
        </is>
      </c>
      <c r="G35" t="n">
        <v>31</v>
      </c>
      <c r="H35" t="n">
        <v>3</v>
      </c>
      <c r="I35" s="25" t="n">
        <v>46025</v>
      </c>
      <c r="J35" s="22">
        <f>I35+G35</f>
        <v/>
      </c>
      <c r="K35">
        <f>IF(J35&lt;=TODAY(),"ОБСЛУЖИТЬ",IF(J35-TODAY()&lt;=H35,"Внимание","Не требуется"))</f>
        <v/>
      </c>
    </row>
    <row r="36">
      <c r="A36" t="n">
        <v>32</v>
      </c>
      <c r="B36" t="inlineStr">
        <is>
          <t>ЗИФ-2</t>
        </is>
      </c>
      <c r="C36" t="inlineStr">
        <is>
          <t>Операторская станция ECS</t>
        </is>
      </c>
      <c r="D36" t="inlineStr">
        <is>
          <t>ECS5072CLT02</t>
        </is>
      </c>
      <c r="E36" t="inlineStr">
        <is>
          <t>Операторская ЗИФ-2</t>
        </is>
      </c>
      <c r="F36" t="inlineStr">
        <is>
          <t>Продуть от пыли, проверить HDD, проверить батарейку MB</t>
        </is>
      </c>
      <c r="G36" t="n">
        <v>31</v>
      </c>
      <c r="H36" t="n">
        <v>3</v>
      </c>
      <c r="I36" s="25" t="n">
        <v>46025</v>
      </c>
      <c r="J36" s="22">
        <f>I36+G36</f>
        <v/>
      </c>
      <c r="K36">
        <f>IF(J36&lt;=TODAY(),"ОБСЛУЖИТЬ",IF(J36-TODAY()&lt;=H36,"Внимание","Не требуется"))</f>
        <v/>
      </c>
    </row>
    <row r="37">
      <c r="A37" t="n">
        <v>33</v>
      </c>
      <c r="B37" t="inlineStr">
        <is>
          <t>ЗИФ-2</t>
        </is>
      </c>
      <c r="C37" t="inlineStr">
        <is>
          <t>Операторская станция ECS</t>
        </is>
      </c>
      <c r="D37" t="inlineStr">
        <is>
          <t>ECS5072IP6501</t>
        </is>
      </c>
      <c r="E37" t="inlineStr">
        <is>
          <t>Операторская флотации</t>
        </is>
      </c>
      <c r="F37" t="inlineStr">
        <is>
          <t>Продуть от пыли, проверить HDD</t>
        </is>
      </c>
      <c r="G37" t="n">
        <v>62</v>
      </c>
      <c r="H37" t="n">
        <v>3</v>
      </c>
      <c r="I37" s="22" t="n">
        <v>45969</v>
      </c>
      <c r="J37" s="22">
        <f>I37+G37</f>
        <v/>
      </c>
      <c r="K37">
        <f>IF(J37&lt;=TODAY(),"ОБСЛУЖИТЬ",IF(J37-TODAY()&lt;=H37,"Внимание","Не требуется"))</f>
        <v/>
      </c>
    </row>
    <row r="38">
      <c r="A38" t="n">
        <v>34</v>
      </c>
      <c r="B38" t="inlineStr">
        <is>
          <t>ПНС-2.1</t>
        </is>
      </c>
      <c r="C38" t="inlineStr">
        <is>
          <t>Операторская станция ECS</t>
        </is>
      </c>
      <c r="D38" t="inlineStr">
        <is>
          <t>PDM5072CLT02</t>
        </is>
      </c>
      <c r="E38" t="inlineStr">
        <is>
          <t>ПНС-2.1</t>
        </is>
      </c>
      <c r="F38" t="inlineStr">
        <is>
          <t>Продуть от пыли, проверить HDD, проверить батарейку MB</t>
        </is>
      </c>
      <c r="G38" t="n">
        <v>90</v>
      </c>
      <c r="H38" t="n">
        <v>3</v>
      </c>
      <c r="I38" s="22" t="n">
        <v>45961</v>
      </c>
      <c r="J38" s="22">
        <f>I38+G38</f>
        <v/>
      </c>
      <c r="K38">
        <f>IF(J38&lt;=TODAY(),"ОБСЛУЖИТЬ",IF(J38-TODAY()&lt;=H38,"Внимание","Не требуется"))</f>
        <v/>
      </c>
    </row>
    <row r="39">
      <c r="A39" t="n">
        <v>35</v>
      </c>
      <c r="B39" t="inlineStr">
        <is>
          <t>ККД-2</t>
        </is>
      </c>
      <c r="C39" t="inlineStr">
        <is>
          <t>Операторская станция ECS</t>
        </is>
      </c>
      <c r="D39" t="inlineStr">
        <is>
          <t>ECS5072CLT03</t>
        </is>
      </c>
      <c r="E39" t="inlineStr">
        <is>
          <t>Операторская ККД-2</t>
        </is>
      </c>
      <c r="F39" t="inlineStr">
        <is>
          <t>Продуть от пыли, проверить HDD, проверить батарейку MB</t>
        </is>
      </c>
      <c r="G39" t="n">
        <v>31</v>
      </c>
      <c r="H39" t="n">
        <v>3</v>
      </c>
      <c r="I39" s="22" t="n">
        <v>45995</v>
      </c>
      <c r="J39" s="22">
        <f>I39+G39</f>
        <v/>
      </c>
      <c r="K39">
        <f>IF(J39&lt;=TODAY(),"ОБСЛУЖИТЬ",IF(J39-TODAY()&lt;=H39,"Внимание","Не требуется"))</f>
        <v/>
      </c>
    </row>
    <row r="40">
      <c r="A40" t="n">
        <v>36</v>
      </c>
      <c r="B40" t="inlineStr">
        <is>
          <t>ЗИФ-2</t>
        </is>
      </c>
      <c r="C40" t="inlineStr">
        <is>
          <t>Операторская станция WinCC</t>
        </is>
      </c>
      <c r="D40" t="inlineStr">
        <is>
          <t>PC VM АДР</t>
        </is>
      </c>
      <c r="E40" t="inlineStr">
        <is>
          <t xml:space="preserve">АДР </t>
        </is>
      </c>
      <c r="F40" t="inlineStr">
        <is>
          <t>Продуть от пыли, проверить HDD, проверить батарейку MB</t>
        </is>
      </c>
      <c r="G40" t="n">
        <v>31</v>
      </c>
      <c r="H40" t="n">
        <v>3</v>
      </c>
      <c r="I40" s="22" t="n">
        <v>45969</v>
      </c>
      <c r="J40" s="22">
        <f>I40+G40</f>
        <v/>
      </c>
      <c r="K40">
        <f>IF(J40&lt;=TODAY(),"ОБСЛУЖИТЬ",IF(J40-TODAY()&lt;=H40,"Внимание","Не требуется"))</f>
        <v/>
      </c>
    </row>
    <row r="41">
      <c r="A41" t="n">
        <v>37</v>
      </c>
      <c r="B41" t="inlineStr">
        <is>
          <t>ЗИФ-2</t>
        </is>
      </c>
      <c r="C41" t="inlineStr">
        <is>
          <t>Операторская станция</t>
        </is>
      </c>
      <c r="D41" t="inlineStr">
        <is>
          <t>АRM ACACIA</t>
        </is>
      </c>
      <c r="E41" t="inlineStr">
        <is>
          <t>Акация</t>
        </is>
      </c>
      <c r="F41" t="inlineStr">
        <is>
          <t>Продуть от пыли, проверить HDD</t>
        </is>
      </c>
      <c r="G41" t="n">
        <v>31</v>
      </c>
      <c r="H41" t="n">
        <v>3</v>
      </c>
      <c r="I41" s="22" t="n">
        <v>45969</v>
      </c>
      <c r="J41" s="22">
        <f>I41+G41</f>
        <v/>
      </c>
      <c r="K41">
        <f>IF(J41&lt;=TODAY(),"ОБСЛУЖИТЬ",IF(J41-TODAY()&lt;=H41,"Внимание","Не требуется"))</f>
        <v/>
      </c>
    </row>
    <row r="42">
      <c r="A42" t="n">
        <v>38</v>
      </c>
      <c r="B42" t="inlineStr">
        <is>
          <t>ЗИФ-2</t>
        </is>
      </c>
      <c r="C42" t="inlineStr">
        <is>
          <t>Клиентская станция</t>
        </is>
      </c>
      <c r="D42" t="inlineStr">
        <is>
          <t>Trassir Client</t>
        </is>
      </c>
      <c r="E42" t="inlineStr">
        <is>
          <t>Операторская ККД-2</t>
        </is>
      </c>
      <c r="F42" t="inlineStr">
        <is>
          <t>Продуть от пыли, проверить HDD</t>
        </is>
      </c>
      <c r="G42" t="n">
        <v>31</v>
      </c>
      <c r="H42" t="n">
        <v>3</v>
      </c>
      <c r="I42" s="22" t="n">
        <v>45970</v>
      </c>
      <c r="J42" s="22">
        <f>I42+G42</f>
        <v/>
      </c>
      <c r="K42">
        <f>IF(J42&lt;=TODAY(),"ОБСЛУЖИТЬ",IF(J42-TODAY()&lt;=H42,"Внимание","Не требуется"))</f>
        <v/>
      </c>
    </row>
    <row r="43">
      <c r="A43" t="n">
        <v>39</v>
      </c>
      <c r="B43" t="inlineStr">
        <is>
          <t>ПНС-2.1</t>
        </is>
      </c>
      <c r="C43" t="inlineStr">
        <is>
          <t>Видеорегистратор</t>
        </is>
      </c>
      <c r="D43" t="inlineStr">
        <is>
          <t>HiWAtch</t>
        </is>
      </c>
      <c r="E43" t="inlineStr">
        <is>
          <t>ПНС-2.1</t>
        </is>
      </c>
      <c r="F43" t="inlineStr">
        <is>
          <t>Продуть от пыли</t>
        </is>
      </c>
      <c r="G43" t="n">
        <v>90</v>
      </c>
      <c r="H43" t="n">
        <v>3</v>
      </c>
      <c r="I43" s="22" t="n">
        <v>45961</v>
      </c>
      <c r="J43" s="22">
        <f>I43+G43</f>
        <v/>
      </c>
      <c r="K43">
        <f>IF(J43&lt;=TODAY(),"ОБСЛУЖИТЬ",IF(J43-TODAY()&lt;=H43,"Внимание","Не требуется"))</f>
        <v/>
      </c>
    </row>
    <row r="44">
      <c r="A44" t="n">
        <v>40</v>
      </c>
      <c r="B44" t="inlineStr">
        <is>
          <t>ЗИФ-2</t>
        </is>
      </c>
      <c r="C44" t="inlineStr">
        <is>
          <t>Сервер виртуальных машин</t>
        </is>
      </c>
      <c r="D44" t="inlineStr">
        <is>
          <t>ESXi02 ЗИФ-2</t>
        </is>
      </c>
      <c r="E44" t="inlineStr">
        <is>
          <t>Серверная АСУТП</t>
        </is>
      </c>
      <c r="F44" t="inlineStr">
        <is>
          <t>Продуть от пыли, проверить HDD</t>
        </is>
      </c>
      <c r="G44" t="n">
        <v>45</v>
      </c>
      <c r="H44" t="n">
        <v>3</v>
      </c>
      <c r="I44" s="22" t="n">
        <v>45995</v>
      </c>
      <c r="J44" s="22">
        <f>I44+G44</f>
        <v/>
      </c>
      <c r="K44">
        <f>IF(J44&lt;=TODAY(),"ОБСЛУЖИТЬ",IF(J44-TODAY()&lt;=H44,"Внимание","Не требуется"))</f>
        <v/>
      </c>
    </row>
    <row r="45">
      <c r="A45" t="n">
        <v>41</v>
      </c>
      <c r="B45" t="inlineStr">
        <is>
          <t>ЗИФ-2</t>
        </is>
      </c>
      <c r="C45" t="inlineStr">
        <is>
          <t>Клиентская станция</t>
        </is>
      </c>
      <c r="D45" t="inlineStr">
        <is>
          <t>Trassir Client</t>
        </is>
      </c>
      <c r="E45" t="inlineStr">
        <is>
          <t>Операторская ЗИФ-2</t>
        </is>
      </c>
      <c r="F45" t="inlineStr">
        <is>
          <t>Продуть от пыли, проверить HDD</t>
        </is>
      </c>
      <c r="G45" t="n">
        <v>31</v>
      </c>
      <c r="H45" t="n">
        <v>3</v>
      </c>
      <c r="I45" s="25" t="n">
        <v>46025</v>
      </c>
      <c r="J45" s="22">
        <f>I45+G45</f>
        <v/>
      </c>
      <c r="K45">
        <f>IF(J45&lt;=TODAY(),"ОБСЛУЖИТЬ",IF(J45-TODAY()&lt;=H45,"Внимание","Не требуется"))</f>
        <v/>
      </c>
    </row>
    <row r="46">
      <c r="A46" t="n">
        <v>42</v>
      </c>
      <c r="B46" t="inlineStr">
        <is>
          <t>Котельная ПП</t>
        </is>
      </c>
      <c r="C46" t="inlineStr">
        <is>
          <t>Операторская станция</t>
        </is>
      </c>
      <c r="D46" t="inlineStr">
        <is>
          <t>MasterSCADA_CLT</t>
        </is>
      </c>
      <c r="E46" t="inlineStr">
        <is>
          <t>Угольная котельная ПП</t>
        </is>
      </c>
      <c r="F46" t="inlineStr">
        <is>
          <t>Продуть от пыли, проверить HDD</t>
        </is>
      </c>
      <c r="G46" t="n">
        <v>31</v>
      </c>
      <c r="H46" t="n">
        <v>3</v>
      </c>
      <c r="I46" s="22" t="n">
        <v>45970</v>
      </c>
      <c r="J46" s="22">
        <f>I46+G46</f>
        <v/>
      </c>
      <c r="K46">
        <f>IF(J46&lt;=TODAY(),"ОБСЛУЖИТЬ",IF(J46-TODAY()&lt;=H46,"Внимание","Не требуется"))</f>
        <v/>
      </c>
    </row>
    <row r="47">
      <c r="A47" t="n">
        <v>43</v>
      </c>
      <c r="B47" t="inlineStr">
        <is>
          <t>ЗИФ-2</t>
        </is>
      </c>
      <c r="C47" t="inlineStr">
        <is>
          <t>Операторская станция ECS</t>
        </is>
      </c>
      <c r="D47" t="inlineStr">
        <is>
          <t>PDM5072CLT01</t>
        </is>
      </c>
      <c r="E47" t="inlineStr">
        <is>
          <t>Операторская Сорбции</t>
        </is>
      </c>
      <c r="F47" t="inlineStr">
        <is>
          <t>Продуть от пыли, проверить HDD, проверить батарейку MB</t>
        </is>
      </c>
      <c r="G47" t="n">
        <v>31</v>
      </c>
      <c r="H47" t="n">
        <v>3</v>
      </c>
      <c r="I47" s="25" t="n">
        <v>46031.26537509259</v>
      </c>
      <c r="J47" s="22">
        <f>I47+G47</f>
        <v/>
      </c>
      <c r="K47">
        <f>IF(J47&lt;=TODAY(),"ОБСЛУЖИТЬ",IF(J47-TODAY()&lt;=H47,"Внимание","Не требуется"))</f>
        <v/>
      </c>
    </row>
    <row r="48" hidden="1" ht="15" customHeight="1" s="16">
      <c r="A48" t="n">
        <v>44</v>
      </c>
    </row>
    <row r="49" hidden="1" ht="15" customHeight="1" s="16">
      <c r="A49" t="n">
        <v>45</v>
      </c>
    </row>
    <row r="50" hidden="1" ht="15" customHeight="1" s="16">
      <c r="A50" t="n">
        <v>46</v>
      </c>
    </row>
    <row r="51" hidden="1" ht="15" customHeight="1" s="16">
      <c r="A51" t="n">
        <v>47</v>
      </c>
    </row>
    <row r="52" hidden="1" ht="15" customHeight="1" s="16">
      <c r="A52" t="n">
        <v>48</v>
      </c>
    </row>
    <row r="53" hidden="1" ht="15" customHeight="1" s="16">
      <c r="A53" t="n">
        <v>49</v>
      </c>
    </row>
    <row r="54" hidden="1" ht="15" customHeight="1" s="16">
      <c r="A54" t="n">
        <v>50</v>
      </c>
    </row>
    <row r="55" hidden="1" ht="15" customHeight="1" s="16">
      <c r="A55" t="n">
        <v>51</v>
      </c>
    </row>
    <row r="56" hidden="1" ht="15" customHeight="1" s="16">
      <c r="A56" t="n">
        <v>52</v>
      </c>
    </row>
    <row r="57" hidden="1" ht="15" customHeight="1" s="16">
      <c r="A57" t="n">
        <v>53</v>
      </c>
    </row>
    <row r="58" hidden="1" ht="15" customHeight="1" s="16">
      <c r="A58" t="n">
        <v>54</v>
      </c>
    </row>
    <row r="59" hidden="1" ht="15" customHeight="1" s="16">
      <c r="A59" t="n">
        <v>55</v>
      </c>
    </row>
    <row r="60" hidden="1" ht="15" customHeight="1" s="16">
      <c r="A60" t="n">
        <v>56</v>
      </c>
    </row>
    <row r="61" hidden="1" ht="15" customHeight="1" s="16">
      <c r="A61" t="n">
        <v>57</v>
      </c>
    </row>
    <row r="62" ht="15" customHeight="1" s="16">
      <c r="A62" t="n">
        <v>58</v>
      </c>
    </row>
    <row r="63" ht="15" customHeight="1" s="16">
      <c r="A63" t="n">
        <v>59</v>
      </c>
    </row>
    <row r="64" ht="15" customHeight="1" s="16">
      <c r="A64" t="n">
        <v>60</v>
      </c>
    </row>
    <row r="65" ht="15" customHeight="1" s="16">
      <c r="A65" t="n">
        <v>61</v>
      </c>
    </row>
    <row r="66" ht="15" customHeight="1" s="16">
      <c r="A66" t="n">
        <v>62</v>
      </c>
    </row>
    <row r="67" ht="9.75" customHeight="1" s="16">
      <c r="A67" t="n">
        <v>63</v>
      </c>
    </row>
    <row r="68" ht="15" customHeight="1" s="16">
      <c r="A68" t="n">
        <v>64</v>
      </c>
    </row>
    <row r="69" ht="15" customHeight="1" s="16">
      <c r="A69" t="n">
        <v>65</v>
      </c>
    </row>
    <row r="70" ht="15" customHeight="1" s="16">
      <c r="A70" t="n">
        <v>66</v>
      </c>
    </row>
    <row r="71" ht="15" customHeight="1" s="16">
      <c r="A71" t="n">
        <v>67</v>
      </c>
    </row>
    <row r="72" ht="15" customHeight="1" s="16">
      <c r="A72" t="n">
        <v>68</v>
      </c>
    </row>
    <row r="73" ht="15" customHeight="1" s="16">
      <c r="A73" t="n">
        <v>69</v>
      </c>
    </row>
    <row r="74" ht="15" customHeight="1" s="16">
      <c r="A74" t="n">
        <v>70</v>
      </c>
    </row>
    <row r="75" ht="15" customHeight="1" s="16">
      <c r="A75" t="n">
        <v>71</v>
      </c>
    </row>
    <row r="76" ht="15" customHeight="1" s="16">
      <c r="A76" t="n">
        <v>72</v>
      </c>
    </row>
    <row r="77" ht="15" customHeight="1" s="16">
      <c r="A77" t="n">
        <v>73</v>
      </c>
    </row>
    <row r="78" ht="15" customHeight="1" s="16">
      <c r="A78" t="n">
        <v>74</v>
      </c>
    </row>
    <row r="79" ht="15" customHeight="1" s="16">
      <c r="A79" t="n">
        <v>75</v>
      </c>
    </row>
    <row r="80" ht="15" customHeight="1" s="16">
      <c r="A80" t="n">
        <v>76</v>
      </c>
    </row>
    <row r="81" ht="15" customHeight="1" s="16">
      <c r="A81" t="n">
        <v>77</v>
      </c>
    </row>
    <row r="82" ht="15" customHeight="1" s="16">
      <c r="A82" t="n">
        <v>78</v>
      </c>
    </row>
    <row r="83" ht="15" customHeight="1" s="16">
      <c r="A83" t="n">
        <v>79</v>
      </c>
    </row>
    <row r="84" ht="15" customHeight="1" s="16">
      <c r="A84" t="n">
        <v>80</v>
      </c>
    </row>
    <row r="85" ht="15" customHeight="1" s="16">
      <c r="A85" t="n">
        <v>81</v>
      </c>
    </row>
    <row r="86" ht="15" customHeight="1" s="16">
      <c r="A86" t="n">
        <v>82</v>
      </c>
    </row>
    <row r="87" ht="15" customHeight="1" s="16">
      <c r="A87" t="n">
        <v>83</v>
      </c>
    </row>
    <row r="88" ht="15" customHeight="1" s="16">
      <c r="A88" t="n">
        <v>84</v>
      </c>
    </row>
    <row r="89" ht="15" customHeight="1" s="16">
      <c r="A89" t="n">
        <v>85</v>
      </c>
    </row>
    <row r="90" ht="15" customHeight="1" s="16">
      <c r="A90" t="n">
        <v>86</v>
      </c>
    </row>
    <row r="91" ht="15" customHeight="1" s="16">
      <c r="A91" t="n">
        <v>87</v>
      </c>
    </row>
    <row r="92" ht="15" customHeight="1" s="16">
      <c r="A92" t="n">
        <v>88</v>
      </c>
    </row>
    <row r="93" ht="15" customHeight="1" s="16">
      <c r="A93" t="n">
        <v>89</v>
      </c>
    </row>
    <row r="94" ht="15" customHeight="1" s="16">
      <c r="A94" t="n">
        <v>90</v>
      </c>
    </row>
    <row r="95" ht="15" customHeight="1" s="16">
      <c r="A95" t="n">
        <v>91</v>
      </c>
    </row>
    <row r="96" ht="15" customHeight="1" s="16">
      <c r="A96" t="n">
        <v>92</v>
      </c>
    </row>
    <row r="97" ht="15" customHeight="1" s="16">
      <c r="A97" t="n">
        <v>93</v>
      </c>
    </row>
    <row r="98" ht="15" customHeight="1" s="16">
      <c r="A98" t="n">
        <v>94</v>
      </c>
    </row>
    <row r="99" ht="15" customHeight="1" s="16">
      <c r="A99" t="n">
        <v>95</v>
      </c>
    </row>
    <row r="100" ht="15" customHeight="1" s="16">
      <c r="A100" t="n">
        <v>96</v>
      </c>
    </row>
    <row r="101" ht="15" customHeight="1" s="16">
      <c r="A101" t="n">
        <v>97</v>
      </c>
    </row>
    <row r="102" ht="15" customHeight="1" s="16">
      <c r="A102" t="n">
        <v>98</v>
      </c>
    </row>
    <row r="103" ht="15" customHeight="1" s="16">
      <c r="A103" t="n">
        <v>99</v>
      </c>
    </row>
    <row r="104" ht="15" customHeight="1" s="16">
      <c r="A104" t="n">
        <v>100</v>
      </c>
    </row>
    <row r="105" ht="15" customHeight="1" s="16">
      <c r="A105" t="n">
        <v>101</v>
      </c>
    </row>
    <row r="106" ht="15" customHeight="1" s="16">
      <c r="A106" t="n">
        <v>102</v>
      </c>
    </row>
    <row r="107" ht="15" customHeight="1" s="16">
      <c r="A107" t="n">
        <v>103</v>
      </c>
    </row>
    <row r="108" ht="15" customHeight="1" s="16">
      <c r="A108" t="n">
        <v>104</v>
      </c>
    </row>
    <row r="109" ht="15" customHeight="1" s="16">
      <c r="A109" t="n">
        <v>105</v>
      </c>
    </row>
    <row r="110" ht="15" customHeight="1" s="16">
      <c r="A110" t="n">
        <v>106</v>
      </c>
    </row>
    <row r="111" ht="15" customHeight="1" s="16">
      <c r="A111" t="n">
        <v>107</v>
      </c>
    </row>
    <row r="112" ht="15" customHeight="1" s="16">
      <c r="A112" t="n">
        <v>108</v>
      </c>
    </row>
    <row r="113" ht="15" customHeight="1" s="16">
      <c r="A113" t="n">
        <v>109</v>
      </c>
    </row>
    <row r="1048575" ht="12.75" customHeight="1" s="16"/>
  </sheetData>
  <autoFilter ref="A4:K47"/>
  <conditionalFormatting sqref="K5:K47">
    <cfRule type="cellIs" priority="2" operator="equal" dxfId="2">
      <formula>"ОБСЛУЖИТЬ"</formula>
    </cfRule>
    <cfRule type="cellIs" priority="3" operator="equal" dxfId="1">
      <formula>"Внимание"</formula>
    </cfRule>
    <cfRule type="cellIs" priority="4" operator="equal" dxfId="0">
      <formula>"Не требуется"</formula>
    </cfRule>
  </conditionalFormatting>
  <conditionalFormatting sqref="K10">
    <cfRule type="cellIs" priority="5" operator="equal" dxfId="2">
      <formula>"ОБСЛУЖИТЬ"</formula>
    </cfRule>
    <cfRule type="cellIs" priority="6" operator="equal" dxfId="1">
      <formula>"Внимание"</formula>
    </cfRule>
    <cfRule type="cellIs" priority="7" operator="equal" dxfId="0">
      <formula>"Не требуется"</formula>
    </cfRule>
  </conditionalFormatting>
  <pageMargins left="0.7" right="0.7" top="0.75" bottom="0.75" header="0.511811023622047" footer="0.511811023622047"/>
  <pageSetup orientation="landscape" paperSize="9" fitToHeight="0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49"/>
  <sheetViews>
    <sheetView zoomScaleNormal="100" workbookViewId="0">
      <pane ySplit="4" topLeftCell="A5" activePane="bottomLeft" state="frozen"/>
      <selection pane="bottomLeft" activeCell="B14" sqref="B14"/>
    </sheetView>
  </sheetViews>
  <sheetFormatPr baseColWidth="8" defaultColWidth="8.7109375" defaultRowHeight="15" customHeight="1"/>
  <cols>
    <col width="15" customWidth="1" style="16" min="1" max="1"/>
    <col width="31.28515625" customWidth="1" style="16" min="2" max="2"/>
    <col width="33.5703125" customWidth="1" style="16" min="3" max="3"/>
    <col width="34.7109375" customWidth="1" style="16" min="4" max="4"/>
    <col width="32.85546875" customWidth="1" style="16" min="5" max="5"/>
    <col width="61.7109375" customWidth="1" style="16" min="6" max="6"/>
    <col width="21.85546875" customWidth="1" style="16" min="7" max="7"/>
    <col width="25.5703125" customWidth="1" style="16" min="8" max="8"/>
    <col width="22.42578125" customWidth="1" style="22" min="9" max="9"/>
    <col width="22.85546875" customWidth="1" style="22" min="10" max="10"/>
    <col width="13.140625" customWidth="1" style="16" min="11" max="11"/>
    <col width="19.7109375" customWidth="1" style="16" min="12" max="12"/>
  </cols>
  <sheetData>
    <row r="1" ht="23.25" customHeight="1" s="16">
      <c r="A1" s="3" t="inlineStr">
        <is>
          <t>Шкафы АСУТП</t>
        </is>
      </c>
      <c r="B1" s="14" t="n"/>
      <c r="C1" s="4" t="inlineStr">
        <is>
          <t>Всего</t>
        </is>
      </c>
      <c r="D1" s="4" t="inlineStr">
        <is>
          <t>Обслужить</t>
        </is>
      </c>
      <c r="E1" s="4" t="inlineStr">
        <is>
          <t>Внимание</t>
        </is>
      </c>
      <c r="F1" s="4" t="inlineStr">
        <is>
          <t>Не требуется</t>
        </is>
      </c>
      <c r="G1" s="23" t="n"/>
    </row>
    <row r="2" ht="15.75" customHeight="1" s="16">
      <c r="A2" s="14" t="n"/>
      <c r="B2" s="14" t="n"/>
      <c r="C2" s="6">
        <f>COUNTA(C:C)-3</f>
        <v/>
      </c>
      <c r="D2" s="7">
        <f>COUNTIF(K:K,"ОБСЛУЖИТЬ")</f>
        <v/>
      </c>
      <c r="E2" s="8">
        <f>COUNTIF(K:K,"Внимание")</f>
        <v/>
      </c>
      <c r="F2" s="9">
        <f>COUNTIF(K:K,"Не требуется")</f>
        <v/>
      </c>
      <c r="G2" s="10" t="n"/>
    </row>
    <row r="3" ht="15.75" customHeight="1" s="16">
      <c r="A3" s="14" t="n"/>
      <c r="B3" s="14" t="n"/>
      <c r="C3" s="6" t="n"/>
      <c r="D3" s="7" t="n"/>
      <c r="E3" s="8" t="n"/>
      <c r="F3" s="8" t="n"/>
      <c r="G3" s="9" t="n"/>
      <c r="I3" s="14" t="n"/>
    </row>
    <row r="4" ht="15.75" customHeight="1" s="16" thickBot="1">
      <c r="A4" s="12" t="inlineStr">
        <is>
          <t>№</t>
        </is>
      </c>
      <c r="B4" s="12" t="inlineStr">
        <is>
          <t>Объект</t>
        </is>
      </c>
      <c r="C4" s="12" t="inlineStr">
        <is>
          <t>Наименование</t>
        </is>
      </c>
      <c r="D4" s="12" t="inlineStr">
        <is>
          <t>Обозначение шкафа</t>
        </is>
      </c>
      <c r="E4" s="12" t="inlineStr">
        <is>
          <t>Место расположения</t>
        </is>
      </c>
      <c r="F4" s="12" t="inlineStr">
        <is>
          <t>Работы</t>
        </is>
      </c>
      <c r="G4" s="12" t="inlineStr">
        <is>
          <t>Интервал ТО (дней)</t>
        </is>
      </c>
      <c r="H4" s="12" t="inlineStr">
        <is>
          <t>Напоминание (за дней)</t>
        </is>
      </c>
      <c r="I4" s="24" t="inlineStr">
        <is>
          <t xml:space="preserve">Дата последнего ТО </t>
        </is>
      </c>
      <c r="J4" s="24" t="inlineStr">
        <is>
          <t>Дата следующего ТО</t>
        </is>
      </c>
      <c r="K4" s="12" t="inlineStr">
        <is>
          <t xml:space="preserve">Статус </t>
        </is>
      </c>
    </row>
    <row r="5">
      <c r="A5" t="n">
        <v>1</v>
      </c>
      <c r="B5" t="inlineStr">
        <is>
          <t>Вахтовый поселок</t>
        </is>
      </c>
      <c r="C5" t="inlineStr">
        <is>
          <t>Шкаф ПЛК Котельной ВП</t>
        </is>
      </c>
      <c r="D5" t="inlineStr">
        <is>
          <t>ШУ1-120А-SBR125</t>
        </is>
      </c>
      <c r="E5" t="inlineStr">
        <is>
          <t>Котельная вахтового поселка</t>
        </is>
      </c>
      <c r="F5" t="inlineStr">
        <is>
          <t>Визуальный осмотр, продуть от пыли</t>
        </is>
      </c>
      <c r="G5" t="n">
        <v>60</v>
      </c>
      <c r="H5" t="n">
        <v>3</v>
      </c>
      <c r="I5" s="22" t="n">
        <v>46031.26537644676</v>
      </c>
      <c r="J5" s="22">
        <f>I5+G5</f>
        <v/>
      </c>
      <c r="K5">
        <f>IF(J5&lt;=TODAY(),"ОБСЛУЖИТЬ",IF(J5-TODAY()&lt;=H5,"Внимание","Не требуется"))</f>
        <v/>
      </c>
    </row>
    <row r="6">
      <c r="A6" t="n">
        <v>2</v>
      </c>
      <c r="B6" t="inlineStr">
        <is>
          <t>Вахтовый поселок</t>
        </is>
      </c>
      <c r="C6" t="inlineStr">
        <is>
          <t>Шкаф ПЛК Котельной ВП</t>
        </is>
      </c>
      <c r="D6" t="inlineStr">
        <is>
          <t>ШУ RN40</t>
        </is>
      </c>
      <c r="E6" t="inlineStr">
        <is>
          <t>Котельная вахтового поселка</t>
        </is>
      </c>
      <c r="F6" t="inlineStr">
        <is>
          <t>Визуальный осмотр, продуть от пыли</t>
        </is>
      </c>
      <c r="G6" t="n">
        <v>60</v>
      </c>
      <c r="H6" t="n">
        <v>3</v>
      </c>
      <c r="I6" s="22" t="n">
        <v>46031.2653778383</v>
      </c>
      <c r="J6" s="22">
        <f>I6+G6</f>
        <v/>
      </c>
      <c r="K6">
        <f>IF(J6&lt;=TODAY(),"ОБСЛУЖИТЬ",IF(J6-TODAY()&lt;=H6,"Внимание","Не требуется"))</f>
        <v/>
      </c>
    </row>
    <row r="7">
      <c r="A7" t="n">
        <v>3</v>
      </c>
      <c r="B7" t="inlineStr">
        <is>
          <t>Вахтовый поселок</t>
        </is>
      </c>
      <c r="C7" t="inlineStr">
        <is>
          <t>Шкаф ПЛК Котельной ВП</t>
        </is>
      </c>
      <c r="D7" t="inlineStr">
        <is>
          <t>ША SBR-300</t>
        </is>
      </c>
      <c r="E7" t="inlineStr">
        <is>
          <t>Котельная вахтового поселка</t>
        </is>
      </c>
      <c r="F7" t="inlineStr">
        <is>
          <t>Визуальный осмотр, продуть от пыли</t>
        </is>
      </c>
      <c r="G7" t="n">
        <v>90</v>
      </c>
      <c r="H7" t="n">
        <v>3</v>
      </c>
      <c r="I7" s="22" t="n">
        <v>45970</v>
      </c>
      <c r="J7" s="22">
        <f>I7+G7</f>
        <v/>
      </c>
      <c r="K7">
        <f>IF(J7&lt;=TODAY(),"ОБСЛУЖИТЬ",IF(J7-TODAY()&lt;=H7,"Внимание","Не требуется"))</f>
        <v/>
      </c>
    </row>
    <row r="8">
      <c r="A8" t="n">
        <v>4</v>
      </c>
      <c r="B8" t="inlineStr">
        <is>
          <t>Вахтовый поселок</t>
        </is>
      </c>
      <c r="C8" t="inlineStr">
        <is>
          <t>Шкаф ПЛК</t>
        </is>
      </c>
      <c r="D8" t="inlineStr">
        <is>
          <t>ША-01-45/12-220-6-54-УХЛ4</t>
        </is>
      </c>
      <c r="E8" t="inlineStr">
        <is>
          <t>НС2П пожаротушение Кот-ая ВП</t>
        </is>
      </c>
      <c r="F8" t="inlineStr">
        <is>
          <t>Визуальный осмотр, продуть от пыли</t>
        </is>
      </c>
      <c r="G8" t="n">
        <v>90</v>
      </c>
      <c r="H8" t="n">
        <v>3</v>
      </c>
      <c r="I8" s="22" t="n">
        <v>45970</v>
      </c>
      <c r="J8" s="22">
        <f>I8+G8</f>
        <v/>
      </c>
      <c r="K8">
        <f>IF(J8&lt;=TODAY(),"ОБСЛУЖИТЬ",IF(J8-TODAY()&lt;=H8,"Внимание","Не требуется"))</f>
        <v/>
      </c>
    </row>
    <row r="9">
      <c r="A9" t="n">
        <v>5</v>
      </c>
      <c r="B9" t="inlineStr">
        <is>
          <t>Вахтовый поселок</t>
        </is>
      </c>
      <c r="C9" t="inlineStr">
        <is>
          <t>Шкаф ПЛК</t>
        </is>
      </c>
      <c r="D9" t="inlineStr">
        <is>
          <t>ША-02 CHZMEK-CB/F-PSFW</t>
        </is>
      </c>
      <c r="E9" t="inlineStr">
        <is>
          <t>НС2П водоснабжение Кот-ая ВП</t>
        </is>
      </c>
      <c r="F9" t="inlineStr">
        <is>
          <t>Визуальный осмотр, продуть от пыли</t>
        </is>
      </c>
      <c r="G9" t="n">
        <v>90</v>
      </c>
      <c r="H9" t="n">
        <v>3</v>
      </c>
      <c r="I9" s="22" t="n">
        <v>45971</v>
      </c>
      <c r="J9" s="22">
        <f>I9+G9</f>
        <v/>
      </c>
      <c r="K9">
        <f>IF(J9&lt;=TODAY(),"ОБСЛУЖИТЬ",IF(J9-TODAY()&lt;=H9,"Внимание","Не требуется"))</f>
        <v/>
      </c>
    </row>
    <row r="10">
      <c r="A10" t="n">
        <v>6</v>
      </c>
      <c r="B10" t="inlineStr">
        <is>
          <t>Вахтовый поселок</t>
        </is>
      </c>
      <c r="C10" t="inlineStr">
        <is>
          <t>Шкаф ПЛК</t>
        </is>
      </c>
      <c r="D10" t="inlineStr">
        <is>
          <t>ША</t>
        </is>
      </c>
      <c r="E10" t="inlineStr">
        <is>
          <t>ИТП №5,6,7 Вахт.поселок</t>
        </is>
      </c>
      <c r="F10" t="inlineStr">
        <is>
          <t>Визуальный осмотр, продуть от пыли</t>
        </is>
      </c>
      <c r="G10" t="n">
        <v>90</v>
      </c>
      <c r="H10" t="n">
        <v>3</v>
      </c>
      <c r="I10" s="22" t="n">
        <v>45972</v>
      </c>
      <c r="J10" s="22">
        <f>I10+G10</f>
        <v/>
      </c>
      <c r="K10">
        <f>IF(J10&lt;=TODAY(),"ОБСЛУЖИТЬ",IF(J10-TODAY()&lt;=H10,"Внимание","Не требуется"))</f>
        <v/>
      </c>
    </row>
    <row r="11">
      <c r="A11" t="n">
        <v>7</v>
      </c>
      <c r="B11" t="inlineStr">
        <is>
          <t>ЗИФ-1</t>
        </is>
      </c>
      <c r="C11" t="inlineStr">
        <is>
          <t>Серверный шкаф</t>
        </is>
      </c>
      <c r="D11" t="inlineStr">
        <is>
          <t>841CSC01A01</t>
        </is>
      </c>
      <c r="E11" t="inlineStr">
        <is>
          <t>Серверная АСУТП флотация</t>
        </is>
      </c>
      <c r="F11" t="inlineStr">
        <is>
          <t>Замена фильтров</t>
        </is>
      </c>
      <c r="G11" t="n">
        <v>31</v>
      </c>
      <c r="H11" t="n">
        <v>3</v>
      </c>
      <c r="I11" s="22" t="n">
        <v>46021</v>
      </c>
      <c r="J11" s="22">
        <f>I11+G11</f>
        <v/>
      </c>
      <c r="K11">
        <f>IF(J11&lt;=TODAY(),"ОБСЛУЖИТЬ",IF(J11-TODAY()&lt;=H11,"Внимание","Не требуется"))</f>
        <v/>
      </c>
    </row>
    <row r="12">
      <c r="A12" t="n">
        <v>8</v>
      </c>
      <c r="B12" t="inlineStr">
        <is>
          <t>ЗИФ-1</t>
        </is>
      </c>
      <c r="C12" t="inlineStr">
        <is>
          <t>Серверный шкаф</t>
        </is>
      </c>
      <c r="D12" t="inlineStr">
        <is>
          <t>841CSC01A02</t>
        </is>
      </c>
      <c r="E12" t="inlineStr">
        <is>
          <t>Серверная АСУТП флотация</t>
        </is>
      </c>
      <c r="F12" t="inlineStr">
        <is>
          <t>Замена фильтров</t>
        </is>
      </c>
      <c r="G12" t="n">
        <v>31</v>
      </c>
      <c r="H12" t="n">
        <v>3</v>
      </c>
      <c r="I12" s="22" t="n">
        <v>46021</v>
      </c>
      <c r="J12" s="22">
        <f>I12+G12</f>
        <v/>
      </c>
      <c r="K12">
        <f>IF(J12&lt;=TODAY(),"ОБСЛУЖИТЬ",IF(J12-TODAY()&lt;=H12,"Внимание","Не требуется"))</f>
        <v/>
      </c>
    </row>
    <row r="13">
      <c r="A13" t="n">
        <v>9</v>
      </c>
      <c r="B13" t="inlineStr">
        <is>
          <t>ЗИФ-1</t>
        </is>
      </c>
      <c r="C13" t="inlineStr">
        <is>
          <t>Серверный шкаф</t>
        </is>
      </c>
      <c r="D13" t="inlineStr">
        <is>
          <t>841CSC01A01</t>
        </is>
      </c>
      <c r="E13" t="inlineStr">
        <is>
          <t>Серверная АСУТП флотация</t>
        </is>
      </c>
      <c r="F13" t="inlineStr">
        <is>
          <t>Визуальный осмотр</t>
        </is>
      </c>
      <c r="G13" t="n">
        <v>7</v>
      </c>
      <c r="H13" t="n">
        <v>1</v>
      </c>
      <c r="I13" s="22" t="n">
        <v>46030</v>
      </c>
      <c r="J13" s="22">
        <f>I13+G13</f>
        <v/>
      </c>
      <c r="K13">
        <f>IF(J13&lt;=TODAY(),"ОБСЛУЖИТЬ",IF(J13-TODAY()&lt;=H13,"Внимание","Не требуется"))</f>
        <v/>
      </c>
    </row>
    <row r="14">
      <c r="A14" t="n">
        <v>10</v>
      </c>
      <c r="B14" t="inlineStr">
        <is>
          <t>ЗИФ-1</t>
        </is>
      </c>
      <c r="C14" t="inlineStr">
        <is>
          <t>Серверный шкаф</t>
        </is>
      </c>
      <c r="D14" t="inlineStr">
        <is>
          <t>841CSC01A02</t>
        </is>
      </c>
      <c r="E14" t="inlineStr">
        <is>
          <t>Серверная АСУТП флотация</t>
        </is>
      </c>
      <c r="F14" t="inlineStr">
        <is>
          <t>Визуальный осмотр</t>
        </is>
      </c>
      <c r="G14" t="n">
        <v>7</v>
      </c>
      <c r="H14" t="n">
        <v>1</v>
      </c>
      <c r="I14" s="22" t="n">
        <v>46030</v>
      </c>
      <c r="J14" s="22">
        <f>I14+G14</f>
        <v/>
      </c>
      <c r="K14">
        <f>IF(J14&lt;=TODAY(),"ОБСЛУЖИТЬ",IF(J14-TODAY()&lt;=H14,"Внимание","Не требуется"))</f>
        <v/>
      </c>
    </row>
    <row r="15">
      <c r="A15" t="n">
        <v>11</v>
      </c>
      <c r="B15" t="inlineStr">
        <is>
          <t>ЗИФ-1</t>
        </is>
      </c>
      <c r="C15" t="inlineStr">
        <is>
          <t>Шкаф ПЛК</t>
        </is>
      </c>
      <c r="D15" t="inlineStr">
        <is>
          <t>991CS100A01</t>
        </is>
      </c>
      <c r="E15" t="inlineStr">
        <is>
          <t>ПЛК АСУТП флотация</t>
        </is>
      </c>
      <c r="F15" t="inlineStr">
        <is>
          <t>Визуальный осмотр</t>
        </is>
      </c>
      <c r="G15" t="n">
        <v>7</v>
      </c>
      <c r="H15" t="n">
        <v>1</v>
      </c>
      <c r="I15" s="22" t="n">
        <v>46030</v>
      </c>
      <c r="J15" s="22">
        <f>I15+G15</f>
        <v/>
      </c>
      <c r="K15">
        <f>IF(J15&lt;=TODAY(),"ОБСЛУЖИТЬ",IF(J15-TODAY()&lt;=H15,"Внимание","Не требуется"))</f>
        <v/>
      </c>
    </row>
    <row r="16">
      <c r="A16" t="n">
        <v>12</v>
      </c>
      <c r="B16" t="inlineStr">
        <is>
          <t>ЗИФ-1</t>
        </is>
      </c>
      <c r="C16" t="inlineStr">
        <is>
          <t>Шкаф ввода-вывода</t>
        </is>
      </c>
      <c r="D16" t="inlineStr">
        <is>
          <t>991CS100A02</t>
        </is>
      </c>
      <c r="E16" t="inlineStr">
        <is>
          <t>ПЛК АСУТП флотация</t>
        </is>
      </c>
      <c r="F16" t="inlineStr">
        <is>
          <t>Визуальный осмотр</t>
        </is>
      </c>
      <c r="G16" t="n">
        <v>7</v>
      </c>
      <c r="H16" t="n">
        <v>1</v>
      </c>
      <c r="I16" s="22" t="n">
        <v>46030</v>
      </c>
      <c r="J16" s="22">
        <f>I16+G16</f>
        <v/>
      </c>
      <c r="K16">
        <f>IF(J16&lt;=TODAY(),"ОБСЛУЖИТЬ",IF(J16-TODAY()&lt;=H16,"Внимание","Не требуется"))</f>
        <v/>
      </c>
    </row>
    <row r="17">
      <c r="A17" t="n">
        <v>13</v>
      </c>
      <c r="B17" t="inlineStr">
        <is>
          <t>ЗИФ-1</t>
        </is>
      </c>
      <c r="C17" t="inlineStr">
        <is>
          <t>Шкаф ввода-вывода</t>
        </is>
      </c>
      <c r="D17" t="inlineStr">
        <is>
          <t>991CS100A03</t>
        </is>
      </c>
      <c r="E17" t="inlineStr">
        <is>
          <t>ПЛК АСУТП флотация</t>
        </is>
      </c>
      <c r="F17" t="inlineStr">
        <is>
          <t>Визуальный осмотр</t>
        </is>
      </c>
      <c r="G17" t="n">
        <v>7</v>
      </c>
      <c r="H17" t="n">
        <v>1</v>
      </c>
      <c r="I17" s="22" t="n">
        <v>46030</v>
      </c>
      <c r="J17" s="22">
        <f>I17+G17</f>
        <v/>
      </c>
      <c r="K17">
        <f>IF(J17&lt;=TODAY(),"ОБСЛУЖИТЬ",IF(J17-TODAY()&lt;=H17,"Внимание","Не требуется"))</f>
        <v/>
      </c>
    </row>
    <row r="18">
      <c r="A18" t="n">
        <v>14</v>
      </c>
      <c r="B18" t="inlineStr">
        <is>
          <t>ЗИФ-1</t>
        </is>
      </c>
      <c r="C18" t="inlineStr">
        <is>
          <t>Шкаф ввода-вывода</t>
        </is>
      </c>
      <c r="D18" t="inlineStr">
        <is>
          <t>991CS100A04</t>
        </is>
      </c>
      <c r="E18" t="inlineStr">
        <is>
          <t>ПЛК АСУТП флотация</t>
        </is>
      </c>
      <c r="F18" t="inlineStr">
        <is>
          <t>Визуальный осмотр</t>
        </is>
      </c>
      <c r="G18" t="n">
        <v>7</v>
      </c>
      <c r="H18" t="n">
        <v>1</v>
      </c>
      <c r="I18" s="22" t="n">
        <v>46030</v>
      </c>
      <c r="J18" s="22">
        <f>I18+G18</f>
        <v/>
      </c>
      <c r="K18">
        <f>IF(J18&lt;=TODAY(),"ОБСЛУЖИТЬ",IF(J18-TODAY()&lt;=H18,"Внимание","Не требуется"))</f>
        <v/>
      </c>
    </row>
    <row r="19">
      <c r="A19" t="n">
        <v>15</v>
      </c>
      <c r="B19" t="inlineStr">
        <is>
          <t>ЗИФ-1</t>
        </is>
      </c>
      <c r="C19" t="inlineStr">
        <is>
          <t>Шкаф ввода-вывода</t>
        </is>
      </c>
      <c r="D19" t="inlineStr">
        <is>
          <t>991CS100A05</t>
        </is>
      </c>
      <c r="E19" t="inlineStr">
        <is>
          <t>ПЛК АСУТП флотация</t>
        </is>
      </c>
      <c r="F19" t="inlineStr">
        <is>
          <t>Визуальный осмотр</t>
        </is>
      </c>
      <c r="G19" t="n">
        <v>7</v>
      </c>
      <c r="H19" t="n">
        <v>1</v>
      </c>
      <c r="I19" s="22" t="n">
        <v>46030</v>
      </c>
      <c r="J19" s="22">
        <f>I19+G19</f>
        <v/>
      </c>
      <c r="K19">
        <f>IF(J19&lt;=TODAY(),"ОБСЛУЖИТЬ",IF(J19-TODAY()&lt;=H19,"Внимание","Не требуется"))</f>
        <v/>
      </c>
    </row>
    <row r="20">
      <c r="A20" t="n">
        <v>16</v>
      </c>
      <c r="B20" t="inlineStr">
        <is>
          <t>ЗИФ-1</t>
        </is>
      </c>
      <c r="C20" t="inlineStr">
        <is>
          <t>Шкаф ПЛК</t>
        </is>
      </c>
      <c r="D20" t="inlineStr">
        <is>
          <t>992CS100A01</t>
        </is>
      </c>
      <c r="E20" t="inlineStr">
        <is>
          <t>ПЛК АСУТП флотация</t>
        </is>
      </c>
      <c r="F20" t="inlineStr">
        <is>
          <t>Визуальный осмотр</t>
        </is>
      </c>
      <c r="G20" t="n">
        <v>7</v>
      </c>
      <c r="H20" t="n">
        <v>1</v>
      </c>
      <c r="I20" s="22" t="n">
        <v>46030</v>
      </c>
      <c r="J20" s="22">
        <f>I20+G20</f>
        <v/>
      </c>
      <c r="K20">
        <f>IF(J20&lt;=TODAY(),"ОБСЛУЖИТЬ",IF(J20-TODAY()&lt;=H20,"Внимание","Не требуется"))</f>
        <v/>
      </c>
    </row>
    <row r="21">
      <c r="A21" t="n">
        <v>17</v>
      </c>
      <c r="B21" t="inlineStr">
        <is>
          <t>ЗИФ-1</t>
        </is>
      </c>
      <c r="C21" t="inlineStr">
        <is>
          <t>Шкаф ввода-вывода</t>
        </is>
      </c>
      <c r="D21" t="inlineStr">
        <is>
          <t>992CS100A02</t>
        </is>
      </c>
      <c r="E21" t="inlineStr">
        <is>
          <t>ПЛК АСУТП флотация</t>
        </is>
      </c>
      <c r="F21" t="inlineStr">
        <is>
          <t>Визуальный осмотр</t>
        </is>
      </c>
      <c r="G21" t="n">
        <v>7</v>
      </c>
      <c r="H21" t="n">
        <v>1</v>
      </c>
      <c r="I21" s="22" t="n">
        <v>46030</v>
      </c>
      <c r="J21" s="22">
        <f>I21+G21</f>
        <v/>
      </c>
      <c r="K21">
        <f>IF(J21&lt;=TODAY(),"ОБСЛУЖИТЬ",IF(J21-TODAY()&lt;=H21,"Внимание","Не требуется"))</f>
        <v/>
      </c>
    </row>
    <row r="22">
      <c r="A22" t="n">
        <v>18</v>
      </c>
      <c r="B22" t="inlineStr">
        <is>
          <t>ЗИФ-1</t>
        </is>
      </c>
      <c r="C22" t="inlineStr">
        <is>
          <t>Шкаф ввода-вывода</t>
        </is>
      </c>
      <c r="D22" t="inlineStr">
        <is>
          <t>992CS100A03</t>
        </is>
      </c>
      <c r="E22" t="inlineStr">
        <is>
          <t>ПЛК АСУТП флотация</t>
        </is>
      </c>
      <c r="F22" t="inlineStr">
        <is>
          <t>Визуальный осмотр</t>
        </is>
      </c>
      <c r="G22" t="n">
        <v>7</v>
      </c>
      <c r="H22" t="n">
        <v>1</v>
      </c>
      <c r="I22" s="22" t="n">
        <v>46030</v>
      </c>
      <c r="J22" s="22">
        <f>I22+G22</f>
        <v/>
      </c>
      <c r="K22">
        <f>IF(J22&lt;=TODAY(),"ОБСЛУЖИТЬ",IF(J22-TODAY()&lt;=H22,"Внимание","Не требуется"))</f>
        <v/>
      </c>
    </row>
    <row r="23">
      <c r="A23" t="n">
        <v>19</v>
      </c>
      <c r="B23" t="inlineStr">
        <is>
          <t>ЗИФ-1</t>
        </is>
      </c>
      <c r="C23" t="inlineStr">
        <is>
          <t>Шкаф ввода-вывода</t>
        </is>
      </c>
      <c r="D23" t="inlineStr">
        <is>
          <t>992CS100A04</t>
        </is>
      </c>
      <c r="E23" t="inlineStr">
        <is>
          <t>ПЛК АСУТП флотация</t>
        </is>
      </c>
      <c r="F23" t="inlineStr">
        <is>
          <t>Визуальный осмотр</t>
        </is>
      </c>
      <c r="G23" t="n">
        <v>7</v>
      </c>
      <c r="H23" t="n">
        <v>1</v>
      </c>
      <c r="I23" s="22" t="n">
        <v>46030</v>
      </c>
      <c r="J23" s="22">
        <f>I23+G23</f>
        <v/>
      </c>
      <c r="K23">
        <f>IF(J23&lt;=TODAY(),"ОБСЛУЖИТЬ",IF(J23-TODAY()&lt;=H23,"Внимание","Не требуется"))</f>
        <v/>
      </c>
    </row>
    <row r="24">
      <c r="A24" t="n">
        <v>20</v>
      </c>
      <c r="B24" t="inlineStr">
        <is>
          <t>ЗИФ-1</t>
        </is>
      </c>
      <c r="C24" t="inlineStr">
        <is>
          <t>Шкаф ПЛК ЛК-31</t>
        </is>
      </c>
      <c r="D24" t="inlineStr">
        <is>
          <t>ШУ 020-ВС-031</t>
        </is>
      </c>
      <c r="E24" t="inlineStr">
        <is>
          <t>Измельчение ЗИФ</t>
        </is>
      </c>
      <c r="F24" t="inlineStr">
        <is>
          <t>Визуальный осмотр, продуть от пыли</t>
        </is>
      </c>
      <c r="G24" t="n">
        <v>60</v>
      </c>
      <c r="H24" t="n">
        <v>3</v>
      </c>
      <c r="I24" s="26" t="n">
        <v>45989</v>
      </c>
      <c r="J24" s="22">
        <f>I24+G24</f>
        <v/>
      </c>
      <c r="K24">
        <f>IF(J24&lt;=TODAY(),"ОБСЛУЖИТЬ",IF(J24-TODAY()&lt;=H24,"Внимание","Не требуется"))</f>
        <v/>
      </c>
    </row>
    <row r="25">
      <c r="A25" t="n">
        <v>21</v>
      </c>
      <c r="B25" t="inlineStr">
        <is>
          <t>ЗИФ-1</t>
        </is>
      </c>
      <c r="C25" t="inlineStr">
        <is>
          <t>Шкаф управления ЛК-31</t>
        </is>
      </c>
      <c r="D25" t="inlineStr">
        <is>
          <t>ПУ 020-BC-031</t>
        </is>
      </c>
      <c r="E25" t="inlineStr">
        <is>
          <t>Измельчение ЗИФ</t>
        </is>
      </c>
      <c r="F25" t="inlineStr">
        <is>
          <t>Визуальный осмотр, продуть от пыли</t>
        </is>
      </c>
      <c r="G25" t="n">
        <v>60</v>
      </c>
      <c r="H25" t="n">
        <v>3</v>
      </c>
      <c r="I25" s="26" t="n">
        <v>45989</v>
      </c>
      <c r="J25" s="22">
        <f>I25+G25</f>
        <v/>
      </c>
      <c r="K25">
        <f>IF(J25&lt;=TODAY(),"ОБСЛУЖИТЬ",IF(J25-TODAY()&lt;=H25,"Внимание","Не требуется"))</f>
        <v/>
      </c>
    </row>
    <row r="26">
      <c r="A26" t="n">
        <v>22</v>
      </c>
      <c r="B26" t="inlineStr">
        <is>
          <t>ЗИФ-1</t>
        </is>
      </c>
      <c r="C26" t="inlineStr">
        <is>
          <t>Шкаф ПЛК металлодетектора ЛК21</t>
        </is>
      </c>
      <c r="D26" t="inlineStr">
        <is>
          <t>ШУ 020MD021</t>
        </is>
      </c>
      <c r="E26" t="inlineStr">
        <is>
          <t>Измельчение ЗИФ</t>
        </is>
      </c>
      <c r="F26" t="inlineStr">
        <is>
          <t>Визуальный осмотр, продуть от пыли</t>
        </is>
      </c>
      <c r="G26" t="n">
        <v>60</v>
      </c>
      <c r="H26" t="n">
        <v>3</v>
      </c>
      <c r="I26" s="25" t="n">
        <v>45989</v>
      </c>
      <c r="J26" s="22">
        <f>I26+G26</f>
        <v/>
      </c>
      <c r="K26">
        <f>IF(J26&lt;=TODAY(),"ОБСЛУЖИТЬ",IF(J26-TODAY()&lt;=H26,"Внимание","Не требуется"))</f>
        <v/>
      </c>
    </row>
    <row r="27">
      <c r="A27" t="n">
        <v>23</v>
      </c>
      <c r="B27" t="inlineStr">
        <is>
          <t>ЗИФ-1</t>
        </is>
      </c>
      <c r="C27" t="inlineStr">
        <is>
          <t>Шкаф ПЛК Шародозатор МПСИ</t>
        </is>
      </c>
      <c r="D27" t="inlineStr">
        <is>
          <t>ША МПСИ</t>
        </is>
      </c>
      <c r="E27" t="inlineStr">
        <is>
          <t>Измельчение ЗИФ</t>
        </is>
      </c>
      <c r="F27" t="inlineStr">
        <is>
          <t>Визуальный осмотр, продуть от пыли, протереть</t>
        </is>
      </c>
      <c r="G27" t="n">
        <v>31</v>
      </c>
      <c r="H27" t="n">
        <v>3</v>
      </c>
      <c r="I27" s="22" t="n">
        <v>46000</v>
      </c>
      <c r="J27" s="22">
        <f>I27+G27</f>
        <v/>
      </c>
      <c r="K27">
        <f>IF(J27&lt;=TODAY(),"ОБСЛУЖИТЬ",IF(J27-TODAY()&lt;=H27,"Внимание","Не требуется"))</f>
        <v/>
      </c>
    </row>
    <row r="28">
      <c r="A28" t="n">
        <v>24</v>
      </c>
      <c r="B28" t="inlineStr">
        <is>
          <t>ЗИФ-1</t>
        </is>
      </c>
      <c r="C28" t="inlineStr">
        <is>
          <t>Шкаф ПЛК Шародозатор МШЦ-1</t>
        </is>
      </c>
      <c r="D28" t="inlineStr">
        <is>
          <t>ША МШЦ-1</t>
        </is>
      </c>
      <c r="E28" t="inlineStr">
        <is>
          <t>Измельчение ЗИФ</t>
        </is>
      </c>
      <c r="F28" t="inlineStr">
        <is>
          <t>Визуальный осмотр, продуть от пыли, протереть</t>
        </is>
      </c>
      <c r="G28" t="n">
        <v>31</v>
      </c>
      <c r="H28" t="n">
        <v>3</v>
      </c>
      <c r="I28" s="22" t="n">
        <v>46000</v>
      </c>
      <c r="J28" s="22">
        <f>I28+G28</f>
        <v/>
      </c>
      <c r="K28">
        <f>IF(J28&lt;=TODAY(),"ОБСЛУЖИТЬ",IF(J28-TODAY()&lt;=H28,"Внимание","Не требуется"))</f>
        <v/>
      </c>
    </row>
    <row r="29">
      <c r="A29" t="n">
        <v>25</v>
      </c>
      <c r="B29" t="inlineStr">
        <is>
          <t>ЗИФ-1</t>
        </is>
      </c>
      <c r="C29" t="inlineStr">
        <is>
          <t>Шкаф ПЛК Шародозатор МШЦ-2</t>
        </is>
      </c>
      <c r="D29" t="inlineStr">
        <is>
          <t>ША МШЦ-2</t>
        </is>
      </c>
      <c r="E29" t="inlineStr">
        <is>
          <t>Измельчение ЗИФ</t>
        </is>
      </c>
      <c r="F29" t="inlineStr">
        <is>
          <t>Визуальный осмотр, продуть от пыли, протереть</t>
        </is>
      </c>
      <c r="G29" t="n">
        <v>31</v>
      </c>
      <c r="H29" t="n">
        <v>3</v>
      </c>
      <c r="I29" s="22" t="n">
        <v>46000</v>
      </c>
      <c r="J29" s="22">
        <f>I29+G29</f>
        <v/>
      </c>
      <c r="K29">
        <f>IF(J29&lt;=TODAY(),"ОБСЛУЖИТЬ",IF(J29-TODAY()&lt;=H29,"Внимание","Не требуется"))</f>
        <v/>
      </c>
    </row>
    <row r="30">
      <c r="A30" t="n">
        <v>26</v>
      </c>
      <c r="B30" t="inlineStr">
        <is>
          <t>ЗИФ-1</t>
        </is>
      </c>
      <c r="C30" t="inlineStr">
        <is>
          <t>Шкаф ПЛК МПСИ</t>
        </is>
      </c>
      <c r="D30" t="inlineStr">
        <is>
          <t>SM01-LCP-01</t>
        </is>
      </c>
      <c r="E30" t="inlineStr">
        <is>
          <t>Измельчение ЗИФ</t>
        </is>
      </c>
      <c r="F30" t="inlineStr">
        <is>
          <t>Визуальный осмотр, продуть от пыли, протереть</t>
        </is>
      </c>
      <c r="G30" t="n">
        <v>31</v>
      </c>
      <c r="H30" t="n">
        <v>3</v>
      </c>
      <c r="I30" s="22" t="n">
        <v>46027</v>
      </c>
      <c r="J30" s="22">
        <f>I30+G30</f>
        <v/>
      </c>
      <c r="K30">
        <f>IF(J30&lt;=TODAY(),"ОБСЛУЖИТЬ",IF(J30-TODAY()&lt;=H30,"Внимание","Не требуется"))</f>
        <v/>
      </c>
    </row>
    <row r="31">
      <c r="A31" t="n">
        <v>27</v>
      </c>
      <c r="B31" t="inlineStr">
        <is>
          <t>ЗИФ-1</t>
        </is>
      </c>
      <c r="C31" t="inlineStr">
        <is>
          <t>Шкаф ПЛК МШЦ-1</t>
        </is>
      </c>
      <c r="D31" t="inlineStr">
        <is>
          <t>BM01-LCP-01</t>
        </is>
      </c>
      <c r="E31" t="inlineStr">
        <is>
          <t>Измельчение ЗИФ</t>
        </is>
      </c>
      <c r="F31" t="inlineStr">
        <is>
          <t>Визуальный осмотр, продуть от пыли, протереть</t>
        </is>
      </c>
      <c r="G31" t="n">
        <v>31</v>
      </c>
      <c r="H31" t="n">
        <v>3</v>
      </c>
      <c r="I31" s="22" t="n">
        <v>46027</v>
      </c>
      <c r="J31" s="22">
        <f>I31+G31</f>
        <v/>
      </c>
      <c r="K31">
        <f>IF(J31&lt;=TODAY(),"ОБСЛУЖИТЬ",IF(J31-TODAY()&lt;=H31,"Внимание","Не требуется"))</f>
        <v/>
      </c>
    </row>
    <row r="32">
      <c r="A32" t="n">
        <v>28</v>
      </c>
      <c r="B32" t="inlineStr">
        <is>
          <t>ЗИФ-1</t>
        </is>
      </c>
      <c r="C32" t="inlineStr">
        <is>
          <t>Шкаф ПЛК МШЦ-2</t>
        </is>
      </c>
      <c r="D32" t="inlineStr">
        <is>
          <t>BM02-LCP-01</t>
        </is>
      </c>
      <c r="E32" t="inlineStr">
        <is>
          <t>Измельчение ЗИФ</t>
        </is>
      </c>
      <c r="F32" t="inlineStr">
        <is>
          <t>Визуальный осмотр, продуть от пыли, протереть</t>
        </is>
      </c>
      <c r="G32" t="n">
        <v>31</v>
      </c>
      <c r="H32" t="n">
        <v>3</v>
      </c>
      <c r="I32" s="22" t="n">
        <v>46027</v>
      </c>
      <c r="J32" s="22">
        <f>I32+G32</f>
        <v/>
      </c>
      <c r="K32">
        <f>IF(J32&lt;=TODAY(),"ОБСЛУЖИТЬ",IF(J32-TODAY()&lt;=H32,"Внимание","Не требуется"))</f>
        <v/>
      </c>
    </row>
    <row r="33">
      <c r="A33" t="n">
        <v>29</v>
      </c>
      <c r="B33" t="inlineStr">
        <is>
          <t>ЗИФ-1</t>
        </is>
      </c>
      <c r="C33" t="inlineStr">
        <is>
          <t>Шкаф ПЛК SER МПСИ</t>
        </is>
      </c>
      <c r="D33" t="inlineStr">
        <is>
          <t>SM01-PLC-SER-A1</t>
        </is>
      </c>
      <c r="E33" t="inlineStr">
        <is>
          <t>ПСУ-1</t>
        </is>
      </c>
      <c r="F33" t="inlineStr">
        <is>
          <t>Визуальный осмотр, продуть от пыли</t>
        </is>
      </c>
      <c r="G33" t="n">
        <v>31</v>
      </c>
      <c r="H33" t="n">
        <v>3</v>
      </c>
      <c r="I33" s="25" t="n">
        <v>46027</v>
      </c>
      <c r="J33" s="22">
        <f>I33+G33</f>
        <v/>
      </c>
      <c r="K33">
        <f>IF(J33&lt;=TODAY(),"ОБСЛУЖИТЬ",IF(J33-TODAY()&lt;=H33,"Внимание","Не требуется"))</f>
        <v/>
      </c>
    </row>
    <row r="34">
      <c r="A34" t="n">
        <v>30</v>
      </c>
      <c r="B34" t="inlineStr">
        <is>
          <t>ЗИФ-1</t>
        </is>
      </c>
      <c r="C34" t="inlineStr">
        <is>
          <t>Шкаф ПЛК ЖПР МПСИ</t>
        </is>
      </c>
      <c r="D34" t="inlineStr">
        <is>
          <t>ЖПР МПСИ</t>
        </is>
      </c>
      <c r="E34" t="inlineStr">
        <is>
          <t>ПСУ-1</t>
        </is>
      </c>
      <c r="F34" t="inlineStr">
        <is>
          <t>Визуальный осмотр, продуть от пыли</t>
        </is>
      </c>
      <c r="G34" t="n">
        <v>31</v>
      </c>
      <c r="H34" t="n">
        <v>3</v>
      </c>
      <c r="I34" s="25" t="n">
        <v>46027</v>
      </c>
      <c r="J34" s="22">
        <f>I34+G34</f>
        <v/>
      </c>
      <c r="K34">
        <f>IF(J34&lt;=TODAY(),"ОБСЛУЖИТЬ",IF(J34-TODAY()&lt;=H34,"Внимание","Не требуется"))</f>
        <v/>
      </c>
    </row>
    <row r="35">
      <c r="A35" t="n">
        <v>31</v>
      </c>
      <c r="B35" t="inlineStr">
        <is>
          <t>ЗИФ-1</t>
        </is>
      </c>
      <c r="C35" t="inlineStr">
        <is>
          <t>Шкаф ПЛК ЖПР МШЦ-1</t>
        </is>
      </c>
      <c r="D35" t="inlineStr">
        <is>
          <t>ЖПР МШЦ-1</t>
        </is>
      </c>
      <c r="E35" t="inlineStr">
        <is>
          <t>ПСУ-1</t>
        </is>
      </c>
      <c r="F35" t="inlineStr">
        <is>
          <t>Визуальный осмотр, продуть от пыли</t>
        </is>
      </c>
      <c r="G35" t="n">
        <v>31</v>
      </c>
      <c r="H35" t="n">
        <v>3</v>
      </c>
      <c r="I35" s="25" t="n">
        <v>46027</v>
      </c>
      <c r="J35" s="22">
        <f>I35+G35</f>
        <v/>
      </c>
      <c r="K35">
        <f>IF(J35&lt;=TODAY(),"ОБСЛУЖИТЬ",IF(J35-TODAY()&lt;=H35,"Внимание","Не требуется"))</f>
        <v/>
      </c>
    </row>
    <row r="36">
      <c r="A36" t="n">
        <v>32</v>
      </c>
      <c r="B36" t="inlineStr">
        <is>
          <t>ЗИФ-1</t>
        </is>
      </c>
      <c r="C36" t="inlineStr">
        <is>
          <t>Шкаф ПЛК ЖПР МШЦ-2</t>
        </is>
      </c>
      <c r="D36" t="inlineStr">
        <is>
          <t>ЖПР МШЦ-2</t>
        </is>
      </c>
      <c r="E36" t="inlineStr">
        <is>
          <t>ПСУ-1</t>
        </is>
      </c>
      <c r="F36" t="inlineStr">
        <is>
          <t>Визуальный осмотр, продуть от пыли</t>
        </is>
      </c>
      <c r="G36" t="n">
        <v>31</v>
      </c>
      <c r="H36" t="n">
        <v>3</v>
      </c>
      <c r="I36" s="25" t="n">
        <v>46027</v>
      </c>
      <c r="J36" s="22">
        <f>I36+G36</f>
        <v/>
      </c>
      <c r="K36">
        <f>IF(J36&lt;=TODAY(),"ОБСЛУЖИТЬ",IF(J36-TODAY()&lt;=H36,"Внимание","Не требуется"))</f>
        <v/>
      </c>
    </row>
    <row r="37">
      <c r="A37" t="n">
        <v>33</v>
      </c>
      <c r="B37" t="inlineStr">
        <is>
          <t>ЗИФ-1</t>
        </is>
      </c>
      <c r="C37" t="inlineStr">
        <is>
          <t>Шкаф ввода-вывода</t>
        </is>
      </c>
      <c r="D37" t="inlineStr">
        <is>
          <t>992CS111A01</t>
        </is>
      </c>
      <c r="E37" t="inlineStr">
        <is>
          <t>Категория ЗИФ, АДР</t>
        </is>
      </c>
      <c r="F37" t="inlineStr">
        <is>
          <t>Визуальный осмотр, продуть от пыли</t>
        </is>
      </c>
      <c r="G37" t="n">
        <v>31</v>
      </c>
      <c r="H37" t="n">
        <v>3</v>
      </c>
      <c r="I37" s="22" t="n">
        <v>46000</v>
      </c>
      <c r="J37" s="22">
        <f>I37+G37</f>
        <v/>
      </c>
      <c r="K37">
        <f>IF(J37&lt;=TODAY(),"ОБСЛУЖИТЬ",IF(J37-TODAY()&lt;=H37,"Внимание","Не требуется"))</f>
        <v/>
      </c>
    </row>
    <row r="38">
      <c r="A38" t="n">
        <v>34</v>
      </c>
      <c r="B38" t="inlineStr">
        <is>
          <t>ЗИФ-1</t>
        </is>
      </c>
      <c r="C38" t="inlineStr">
        <is>
          <t>Шкаф ввода-вывода</t>
        </is>
      </c>
      <c r="D38" t="inlineStr">
        <is>
          <t>991CS111A01</t>
        </is>
      </c>
      <c r="E38" t="inlineStr">
        <is>
          <t>Сгуститель 340 ПСУ-9</t>
        </is>
      </c>
      <c r="F38" t="inlineStr">
        <is>
          <t>Визуальный осмотр, продуть от пыли</t>
        </is>
      </c>
      <c r="G38" t="n">
        <v>60</v>
      </c>
      <c r="H38" t="n">
        <v>3</v>
      </c>
      <c r="I38" s="25" t="n">
        <v>46027</v>
      </c>
      <c r="J38" s="22">
        <f>I38+G38</f>
        <v/>
      </c>
      <c r="K38">
        <f>IF(J38&lt;=TODAY(),"ОБСЛУЖИТЬ",IF(J38-TODAY()&lt;=H38,"Внимание","Не требуется"))</f>
        <v/>
      </c>
    </row>
    <row r="39">
      <c r="A39" t="n">
        <v>35</v>
      </c>
      <c r="B39" t="inlineStr">
        <is>
          <t>ЗИФ-1</t>
        </is>
      </c>
      <c r="C39" t="inlineStr">
        <is>
          <t>Панель управления</t>
        </is>
      </c>
      <c r="D39" t="inlineStr">
        <is>
          <t>Конусная дробилка Metso HP300 Е2</t>
        </is>
      </c>
      <c r="E39" t="inlineStr">
        <is>
          <t>Измельчение</t>
        </is>
      </c>
      <c r="F39" t="inlineStr">
        <is>
          <t>Визуальный осмотр, продуть от пыли, протереть</t>
        </is>
      </c>
      <c r="G39" t="n">
        <v>60</v>
      </c>
      <c r="H39" t="n">
        <v>3</v>
      </c>
      <c r="I39" s="22" t="n">
        <v>46027</v>
      </c>
      <c r="J39" s="22">
        <f>I39+G39</f>
        <v/>
      </c>
      <c r="K39">
        <f>IF(J39&lt;=TODAY(),"ОБСЛУЖИТЬ",IF(J39-TODAY()&lt;=H39,"Внимание","Не требуется"))</f>
        <v/>
      </c>
    </row>
    <row r="40">
      <c r="A40" t="n">
        <v>36</v>
      </c>
      <c r="B40" t="inlineStr">
        <is>
          <t>ЗИФ-1</t>
        </is>
      </c>
      <c r="C40" t="inlineStr">
        <is>
          <t>Шкаф ПЛК Воздуходувки</t>
        </is>
      </c>
      <c r="D40" t="inlineStr">
        <is>
          <t>BL265</t>
        </is>
      </c>
      <c r="E40" t="inlineStr">
        <is>
          <t>Флотация</t>
        </is>
      </c>
      <c r="F40" t="inlineStr">
        <is>
          <t>Визуальный осмотр, продуть от пыли</t>
        </is>
      </c>
      <c r="G40" t="n">
        <v>60</v>
      </c>
      <c r="H40" t="n">
        <v>3</v>
      </c>
      <c r="I40" s="22" t="n">
        <v>46021</v>
      </c>
      <c r="J40" s="22">
        <f>I40+G40</f>
        <v/>
      </c>
      <c r="K40">
        <f>IF(J40&lt;=TODAY(),"ОБСЛУЖИТЬ",IF(J40-TODAY()&lt;=H40,"Внимание","Не требуется"))</f>
        <v/>
      </c>
    </row>
    <row r="41">
      <c r="A41" t="n">
        <v>37</v>
      </c>
      <c r="B41" t="inlineStr">
        <is>
          <t>ЗИФ-1</t>
        </is>
      </c>
      <c r="C41" t="inlineStr">
        <is>
          <t>Шкаф ПЛК Воздуходувки</t>
        </is>
      </c>
      <c r="D41" t="inlineStr">
        <is>
          <t>BL266</t>
        </is>
      </c>
      <c r="E41" t="inlineStr">
        <is>
          <t>Флотация</t>
        </is>
      </c>
      <c r="F41" t="inlineStr">
        <is>
          <t>Визуальный осмотр, продуть от пыли</t>
        </is>
      </c>
      <c r="G41" t="n">
        <v>60</v>
      </c>
      <c r="H41" t="n">
        <v>3</v>
      </c>
      <c r="I41" s="22" t="n">
        <v>46021</v>
      </c>
      <c r="J41" s="22">
        <f>I41+G41</f>
        <v/>
      </c>
      <c r="K41">
        <f>IF(J41&lt;=TODAY(),"ОБСЛУЖИТЬ",IF(J41-TODAY()&lt;=H41,"Внимание","Не требуется"))</f>
        <v/>
      </c>
    </row>
    <row r="42">
      <c r="A42" t="n">
        <v>38</v>
      </c>
      <c r="B42" t="inlineStr">
        <is>
          <t>ЗИФ-1</t>
        </is>
      </c>
      <c r="C42" t="inlineStr">
        <is>
          <t>Шкаф коммуникационный</t>
        </is>
      </c>
      <c r="D42" t="inlineStr">
        <is>
          <t>ODF-1</t>
        </is>
      </c>
      <c r="E42" t="inlineStr">
        <is>
          <t>Операторская ЗИФ-1</t>
        </is>
      </c>
      <c r="F42" t="inlineStr">
        <is>
          <t>Визуальный осмотр, продуть от пыли</t>
        </is>
      </c>
      <c r="G42" t="n">
        <v>60</v>
      </c>
      <c r="H42" t="n">
        <v>3</v>
      </c>
      <c r="I42" s="25" t="n">
        <v>46027</v>
      </c>
      <c r="J42" s="22">
        <f>I42+G42</f>
        <v/>
      </c>
      <c r="K42">
        <f>IF(J42&lt;=TODAY(),"ОБСЛУЖИТЬ",IF(J42-TODAY()&lt;=H42,"Внимание","Не требуется"))</f>
        <v/>
      </c>
    </row>
    <row r="43">
      <c r="A43" t="n">
        <v>39</v>
      </c>
      <c r="B43" t="inlineStr">
        <is>
          <t>ЗИФ-1</t>
        </is>
      </c>
      <c r="C43" t="inlineStr">
        <is>
          <t>Шкаф коммуникационный</t>
        </is>
      </c>
      <c r="D43" t="inlineStr">
        <is>
          <t>ODF-8</t>
        </is>
      </c>
      <c r="E43" t="inlineStr">
        <is>
          <t>Офис 3-этаж</t>
        </is>
      </c>
      <c r="F43" t="inlineStr">
        <is>
          <t>Визуальный осмотр, продуть от пыли</t>
        </is>
      </c>
      <c r="G43" t="n">
        <v>90</v>
      </c>
      <c r="H43" t="n">
        <v>3</v>
      </c>
      <c r="I43" s="25" t="n">
        <v>46028</v>
      </c>
      <c r="J43" s="22">
        <f>I43+G43</f>
        <v/>
      </c>
      <c r="K43">
        <f>IF(J43&lt;=TODAY(),"ОБСЛУЖИТЬ",IF(J43-TODAY()&lt;=H43,"Внимание","Не требуется"))</f>
        <v/>
      </c>
    </row>
    <row r="44">
      <c r="A44" t="n">
        <v>40</v>
      </c>
      <c r="B44" t="inlineStr">
        <is>
          <t>ЗИФ-1</t>
        </is>
      </c>
      <c r="C44" t="inlineStr">
        <is>
          <t>Шкаф коммуникационный</t>
        </is>
      </c>
      <c r="D44" t="inlineStr">
        <is>
          <t>ODF-7</t>
        </is>
      </c>
      <c r="E44" t="inlineStr">
        <is>
          <t>ПСУ-5</t>
        </is>
      </c>
      <c r="F44" t="inlineStr">
        <is>
          <t>Визуальный осмотр, продуть от пыли</t>
        </is>
      </c>
      <c r="G44" t="n">
        <v>60</v>
      </c>
      <c r="H44" t="n">
        <v>3</v>
      </c>
      <c r="I44" s="25" t="n">
        <v>46027</v>
      </c>
      <c r="J44" s="22">
        <f>I44+G44</f>
        <v/>
      </c>
      <c r="K44">
        <f>IF(J44&lt;=TODAY(),"ОБСЛУЖИТЬ",IF(J44-TODAY()&lt;=H44,"Внимание","Не требуется"))</f>
        <v/>
      </c>
    </row>
    <row r="45">
      <c r="A45" t="n">
        <v>41</v>
      </c>
      <c r="B45" t="inlineStr">
        <is>
          <t>ЗИФ-1</t>
        </is>
      </c>
      <c r="C45" t="inlineStr">
        <is>
          <t>Шкаф коммуникационный</t>
        </is>
      </c>
      <c r="D45" t="inlineStr">
        <is>
          <t>ODF-6</t>
        </is>
      </c>
      <c r="E45" t="inlineStr">
        <is>
          <t>Электроцех</t>
        </is>
      </c>
      <c r="F45" t="inlineStr">
        <is>
          <t>Визуальный осмотр, продуть от пыли</t>
        </is>
      </c>
      <c r="G45" t="n">
        <v>60</v>
      </c>
      <c r="H45" t="n">
        <v>3</v>
      </c>
      <c r="I45" s="22" t="n">
        <v>46027</v>
      </c>
      <c r="J45" s="22">
        <f>I45+G45</f>
        <v/>
      </c>
      <c r="K45">
        <f>IF(J45&lt;=TODAY(),"ОБСЛУЖИТЬ",IF(J45-TODAY()&lt;=H45,"Внимание","Не требуется"))</f>
        <v/>
      </c>
    </row>
    <row r="46">
      <c r="A46" t="n">
        <v>42</v>
      </c>
      <c r="B46" t="inlineStr">
        <is>
          <t>ЗИФ-1</t>
        </is>
      </c>
      <c r="C46" t="inlineStr">
        <is>
          <t>Шкаф коммуникационный</t>
        </is>
      </c>
      <c r="D46" t="inlineStr">
        <is>
          <t>ODF-4</t>
        </is>
      </c>
      <c r="E46" t="inlineStr">
        <is>
          <t>Операторская флотации</t>
        </is>
      </c>
      <c r="F46" t="inlineStr">
        <is>
          <t>Визуальный осмотр, продуть от пыли</t>
        </is>
      </c>
      <c r="G46" t="n">
        <v>60</v>
      </c>
      <c r="H46" t="n">
        <v>3</v>
      </c>
      <c r="I46" s="25" t="n">
        <v>46027</v>
      </c>
      <c r="J46" s="22">
        <f>I46+G46</f>
        <v/>
      </c>
      <c r="K46">
        <f>IF(J46&lt;=TODAY(),"ОБСЛУЖИТЬ",IF(J46-TODAY()&lt;=H46,"Внимание","Не требуется"))</f>
        <v/>
      </c>
    </row>
    <row r="47">
      <c r="A47" t="n">
        <v>43</v>
      </c>
      <c r="B47" t="inlineStr">
        <is>
          <t>ЗИФ-1</t>
        </is>
      </c>
      <c r="C47" t="inlineStr">
        <is>
          <t>Шкаф коммуникационный</t>
        </is>
      </c>
      <c r="D47" t="inlineStr">
        <is>
          <t>ODF-3</t>
        </is>
      </c>
      <c r="E47" t="inlineStr">
        <is>
          <t>ПСУ-1</t>
        </is>
      </c>
      <c r="F47" t="inlineStr">
        <is>
          <t>Визуальный осмотр, продуть от пыли</t>
        </is>
      </c>
      <c r="G47" t="n">
        <v>60</v>
      </c>
      <c r="H47" t="n">
        <v>3</v>
      </c>
      <c r="I47" s="25" t="n">
        <v>46027</v>
      </c>
      <c r="J47" s="22">
        <f>I47+G47</f>
        <v/>
      </c>
      <c r="K47">
        <f>IF(J47&lt;=TODAY(),"ОБСЛУЖИТЬ",IF(J47-TODAY()&lt;=H47,"Внимание","Не требуется"))</f>
        <v/>
      </c>
    </row>
    <row r="48">
      <c r="A48" t="n">
        <v>44</v>
      </c>
      <c r="B48" t="inlineStr">
        <is>
          <t>ЗИФ-1</t>
        </is>
      </c>
      <c r="C48" t="inlineStr">
        <is>
          <t>Шкаф коммуникационный</t>
        </is>
      </c>
      <c r="D48" t="inlineStr">
        <is>
          <t>ODF-2.5</t>
        </is>
      </c>
      <c r="E48" t="inlineStr">
        <is>
          <t>ПСУ-3</t>
        </is>
      </c>
      <c r="F48" t="inlineStr">
        <is>
          <t>Визуальный осмотр, продуть от пыли</t>
        </is>
      </c>
      <c r="G48" t="n">
        <v>60</v>
      </c>
      <c r="H48" t="n">
        <v>3</v>
      </c>
      <c r="I48" s="25" t="n">
        <v>46027</v>
      </c>
      <c r="J48" s="22">
        <f>I48+G48</f>
        <v/>
      </c>
      <c r="K48">
        <f>IF(J48&lt;=TODAY(),"ОБСЛУЖИТЬ",IF(J48-TODAY()&lt;=H48,"Внимание","Не требуется"))</f>
        <v/>
      </c>
    </row>
    <row r="49">
      <c r="A49" t="n">
        <v>45</v>
      </c>
      <c r="B49" t="inlineStr">
        <is>
          <t>ЗИФ-1</t>
        </is>
      </c>
      <c r="C49" t="inlineStr">
        <is>
          <t>Шкаф ПЛК Флоккулянта</t>
        </is>
      </c>
      <c r="D49" t="inlineStr">
        <is>
          <t>TN451</t>
        </is>
      </c>
      <c r="E49" t="inlineStr">
        <is>
          <t>Сорбция</t>
        </is>
      </c>
      <c r="F49" t="inlineStr">
        <is>
          <t>Визуальный осмотр, продуть от пыли</t>
        </is>
      </c>
      <c r="G49" t="n">
        <v>60</v>
      </c>
      <c r="H49" t="n">
        <v>3</v>
      </c>
      <c r="I49" s="22" t="n">
        <v>46027</v>
      </c>
      <c r="J49" s="22">
        <f>I49+G49</f>
        <v/>
      </c>
      <c r="K49">
        <f>IF(J49&lt;=TODAY(),"ОБСЛУЖИТЬ",IF(J49-TODAY()&lt;=H49,"Внимание","Не требуется"))</f>
        <v/>
      </c>
    </row>
    <row r="50">
      <c r="A50" t="n">
        <v>46</v>
      </c>
      <c r="B50" t="inlineStr">
        <is>
          <t>ЗИФ-1</t>
        </is>
      </c>
      <c r="C50" t="inlineStr">
        <is>
          <t>Шкаф ПЛК Флоккулянта</t>
        </is>
      </c>
      <c r="D50" t="inlineStr">
        <is>
          <t>TN591</t>
        </is>
      </c>
      <c r="E50" t="inlineStr">
        <is>
          <t>Сорбция</t>
        </is>
      </c>
      <c r="F50" t="inlineStr">
        <is>
          <t>Визуальный осмотр, продуть от пыли</t>
        </is>
      </c>
      <c r="G50" t="n">
        <v>60</v>
      </c>
      <c r="H50" t="n">
        <v>3</v>
      </c>
      <c r="I50" s="22" t="n">
        <v>46027</v>
      </c>
      <c r="J50" s="22">
        <f>I50+G50</f>
        <v/>
      </c>
      <c r="K50">
        <f>IF(J50&lt;=TODAY(),"ОБСЛУЖИТЬ",IF(J50-TODAY()&lt;=H50,"Внимание","Не требуется"))</f>
        <v/>
      </c>
    </row>
    <row r="51">
      <c r="A51" t="n">
        <v>47</v>
      </c>
      <c r="B51" t="inlineStr">
        <is>
          <t>ЗИФ-1</t>
        </is>
      </c>
      <c r="C51" t="inlineStr">
        <is>
          <t>Шкаф ПЛК</t>
        </is>
      </c>
      <c r="D51" t="inlineStr">
        <is>
          <t>975-LCP01A03</t>
        </is>
      </c>
      <c r="E51" t="inlineStr">
        <is>
          <t>Электроцех</t>
        </is>
      </c>
      <c r="F51" t="inlineStr">
        <is>
          <t>Визуальный осмотр, продуть от пыли</t>
        </is>
      </c>
      <c r="G51" t="n">
        <v>45</v>
      </c>
      <c r="H51" t="n">
        <v>3</v>
      </c>
      <c r="I51" s="22" t="n">
        <v>46027</v>
      </c>
      <c r="J51" s="22">
        <f>I51+G51</f>
        <v/>
      </c>
      <c r="K51">
        <f>IF(J51&lt;=TODAY(),"ОБСЛУЖИТЬ",IF(J51-TODAY()&lt;=H51,"Внимание","Не требуется"))</f>
        <v/>
      </c>
    </row>
    <row r="52">
      <c r="A52" t="n">
        <v>48</v>
      </c>
      <c r="B52" t="inlineStr">
        <is>
          <t>ЗИФ-1</t>
        </is>
      </c>
      <c r="C52" t="inlineStr">
        <is>
          <t xml:space="preserve">Шкаф ввода-вывода </t>
        </is>
      </c>
      <c r="D52" t="inlineStr">
        <is>
          <t>905-LCP01A04</t>
        </is>
      </c>
      <c r="E52" t="inlineStr">
        <is>
          <t>Электроцех</t>
        </is>
      </c>
      <c r="F52" t="inlineStr">
        <is>
          <t>Визуальный осмотр, продуть от пыли</t>
        </is>
      </c>
      <c r="G52" t="n">
        <v>45</v>
      </c>
      <c r="H52" t="n">
        <v>3</v>
      </c>
      <c r="I52" s="22" t="n">
        <v>46027</v>
      </c>
      <c r="J52" s="22">
        <f>I52+G52</f>
        <v/>
      </c>
      <c r="K52">
        <f>IF(J52&lt;=TODAY(),"ОБСЛУЖИТЬ",IF(J52-TODAY()&lt;=H52,"Внимание","Не требуется"))</f>
        <v/>
      </c>
    </row>
    <row r="53">
      <c r="A53" t="n">
        <v>49</v>
      </c>
      <c r="B53" t="inlineStr">
        <is>
          <t>ЗИФ-1</t>
        </is>
      </c>
      <c r="C53" t="inlineStr">
        <is>
          <t xml:space="preserve">Шкаф ввода-вывода </t>
        </is>
      </c>
      <c r="D53" t="inlineStr">
        <is>
          <t>910-LCP01A05</t>
        </is>
      </c>
      <c r="E53" t="inlineStr">
        <is>
          <t>Электроцех</t>
        </is>
      </c>
      <c r="F53" t="inlineStr">
        <is>
          <t>Визуальный осмотр, продуть от пыли</t>
        </is>
      </c>
      <c r="G53" t="n">
        <v>45</v>
      </c>
      <c r="H53" t="n">
        <v>3</v>
      </c>
      <c r="I53" s="22" t="n">
        <v>46027</v>
      </c>
      <c r="J53" s="22">
        <f>I53+G53</f>
        <v/>
      </c>
      <c r="K53">
        <f>IF(J53&lt;=TODAY(),"ОБСЛУЖИТЬ",IF(J53-TODAY()&lt;=H53,"Внимание","Не требуется"))</f>
        <v/>
      </c>
    </row>
    <row r="54">
      <c r="A54" t="n">
        <v>50</v>
      </c>
      <c r="B54" t="inlineStr">
        <is>
          <t>ЗИФ-1</t>
        </is>
      </c>
      <c r="C54" t="inlineStr">
        <is>
          <t xml:space="preserve">Шкаф ввода-вывода </t>
        </is>
      </c>
      <c r="D54" t="inlineStr">
        <is>
          <t>915-LCP01A06</t>
        </is>
      </c>
      <c r="E54" t="inlineStr">
        <is>
          <t>Электроцех</t>
        </is>
      </c>
      <c r="F54" t="inlineStr">
        <is>
          <t>Визуальный осмотр, продуть от пыли</t>
        </is>
      </c>
      <c r="G54" t="n">
        <v>45</v>
      </c>
      <c r="H54" t="n">
        <v>3</v>
      </c>
      <c r="I54" s="22" t="n">
        <v>46027</v>
      </c>
      <c r="J54" s="22">
        <f>I54+G54</f>
        <v/>
      </c>
      <c r="K54">
        <f>IF(J54&lt;=TODAY(),"ОБСЛУЖИТЬ",IF(J54-TODAY()&lt;=H54,"Внимание","Не требуется"))</f>
        <v/>
      </c>
    </row>
    <row r="55">
      <c r="A55" t="n">
        <v>51</v>
      </c>
      <c r="B55" t="inlineStr">
        <is>
          <t>ЗИФ-1</t>
        </is>
      </c>
      <c r="C55" t="inlineStr">
        <is>
          <t xml:space="preserve">Шкаф ввода-вывода </t>
        </is>
      </c>
      <c r="D55" t="inlineStr">
        <is>
          <t>920-LCP01A07</t>
        </is>
      </c>
      <c r="E55" t="inlineStr">
        <is>
          <t>Электроцех</t>
        </is>
      </c>
      <c r="F55" t="inlineStr">
        <is>
          <t>Визуальный осмотр, продуть от пыли</t>
        </is>
      </c>
      <c r="G55" t="n">
        <v>45</v>
      </c>
      <c r="H55" t="n">
        <v>3</v>
      </c>
      <c r="I55" s="22" t="n">
        <v>46027</v>
      </c>
      <c r="J55" s="22">
        <f>I55+G55</f>
        <v/>
      </c>
      <c r="K55">
        <f>IF(J55&lt;=TODAY(),"ОБСЛУЖИТЬ",IF(J55-TODAY()&lt;=H55,"Внимание","Не требуется"))</f>
        <v/>
      </c>
    </row>
    <row r="56">
      <c r="A56" t="n">
        <v>52</v>
      </c>
      <c r="B56" t="inlineStr">
        <is>
          <t>ЗИФ-1</t>
        </is>
      </c>
      <c r="C56" t="inlineStr">
        <is>
          <t xml:space="preserve">Шкаф ввода-вывода </t>
        </is>
      </c>
      <c r="D56" t="inlineStr">
        <is>
          <t>925-LCP01A08</t>
        </is>
      </c>
      <c r="E56" t="inlineStr">
        <is>
          <t>Электроцех</t>
        </is>
      </c>
      <c r="F56" t="inlineStr">
        <is>
          <t>Визуальный осмотр, продуть от пыли</t>
        </is>
      </c>
      <c r="G56" t="n">
        <v>45</v>
      </c>
      <c r="H56" t="n">
        <v>3</v>
      </c>
      <c r="I56" s="22" t="n">
        <v>46027</v>
      </c>
      <c r="J56" s="22">
        <f>I56+G56</f>
        <v/>
      </c>
      <c r="K56">
        <f>IF(J56&lt;=TODAY(),"ОБСЛУЖИТЬ",IF(J56-TODAY()&lt;=H56,"Внимание","Не требуется"))</f>
        <v/>
      </c>
    </row>
    <row r="57">
      <c r="A57" t="n">
        <v>53</v>
      </c>
      <c r="B57" t="inlineStr">
        <is>
          <t>ЗИФ-1</t>
        </is>
      </c>
      <c r="C57" t="inlineStr">
        <is>
          <t xml:space="preserve">Шкаф ввода-вывода </t>
        </is>
      </c>
      <c r="D57" t="inlineStr">
        <is>
          <t>940-LCP01A09</t>
        </is>
      </c>
      <c r="E57" t="inlineStr">
        <is>
          <t>Электроцех</t>
        </is>
      </c>
      <c r="F57" t="inlineStr">
        <is>
          <t>Визуальный осмотр, продуть от пыли</t>
        </is>
      </c>
      <c r="G57" t="n">
        <v>45</v>
      </c>
      <c r="H57" t="n">
        <v>3</v>
      </c>
      <c r="I57" s="22" t="n">
        <v>46027</v>
      </c>
      <c r="J57" s="22">
        <f>I57+G57</f>
        <v/>
      </c>
      <c r="K57">
        <f>IF(J57&lt;=TODAY(),"ОБСЛУЖИТЬ",IF(J57-TODAY()&lt;=H57,"Внимание","Не требуется"))</f>
        <v/>
      </c>
    </row>
    <row r="58">
      <c r="A58" t="n">
        <v>54</v>
      </c>
      <c r="B58" t="inlineStr">
        <is>
          <t>ЗИФ-1</t>
        </is>
      </c>
      <c r="C58" t="inlineStr">
        <is>
          <t>Шкаф ПЛК АГЖУ</t>
        </is>
      </c>
      <c r="D58" t="inlineStr">
        <is>
          <t>Тайра 81</t>
        </is>
      </c>
      <c r="E58" t="inlineStr">
        <is>
          <t>Медный купорос</t>
        </is>
      </c>
      <c r="F58" t="inlineStr">
        <is>
          <t>Визуальный осмотр, продуть от пыли</t>
        </is>
      </c>
      <c r="G58" t="n">
        <v>60</v>
      </c>
      <c r="H58" t="n">
        <v>3</v>
      </c>
      <c r="I58" s="25" t="n">
        <v>46027</v>
      </c>
      <c r="J58" s="22">
        <f>I58+G58</f>
        <v/>
      </c>
      <c r="K58">
        <f>IF(J58&lt;=TODAY(),"ОБСЛУЖИТЬ",IF(J58-TODAY()&lt;=H58,"Внимание","Не требуется"))</f>
        <v/>
      </c>
    </row>
    <row r="59">
      <c r="A59" t="n">
        <v>55</v>
      </c>
      <c r="B59" t="inlineStr">
        <is>
          <t>ЗИФ-1</t>
        </is>
      </c>
      <c r="C59" t="inlineStr">
        <is>
          <t>Шкаф ПЛК Парогенератора</t>
        </is>
      </c>
      <c r="D59" t="inlineStr">
        <is>
          <t>ТИТАН-1000 НТ528</t>
        </is>
      </c>
      <c r="E59" t="inlineStr">
        <is>
          <t>Парогенераторы. Cорбция</t>
        </is>
      </c>
      <c r="F59" t="inlineStr">
        <is>
          <t>Визуальный осмотр, продуть от пыли</t>
        </is>
      </c>
      <c r="G59" t="n">
        <v>60</v>
      </c>
      <c r="H59" t="n">
        <v>3</v>
      </c>
      <c r="I59" s="22" t="n">
        <v>46027</v>
      </c>
      <c r="J59" s="22">
        <f>I59+G59</f>
        <v/>
      </c>
      <c r="K59">
        <f>IF(J59&lt;=TODAY(),"ОБСЛУЖИТЬ",IF(J59-TODAY()&lt;=H59,"Внимание","Не требуется"))</f>
        <v/>
      </c>
    </row>
    <row r="60">
      <c r="A60" t="n">
        <v>56</v>
      </c>
      <c r="B60" t="inlineStr">
        <is>
          <t>ЗИФ-1</t>
        </is>
      </c>
      <c r="C60" t="inlineStr">
        <is>
          <t>Шкаф ПЛК Парогенератора</t>
        </is>
      </c>
      <c r="D60" t="inlineStr">
        <is>
          <t>ТИТАН-1000 НТ534</t>
        </is>
      </c>
      <c r="E60" t="inlineStr">
        <is>
          <t>Парогенераторы. Cорбция</t>
        </is>
      </c>
      <c r="F60" t="inlineStr">
        <is>
          <t>Визуальный осмотр, продуть от пыли</t>
        </is>
      </c>
      <c r="G60" t="n">
        <v>60</v>
      </c>
      <c r="H60" t="n">
        <v>3</v>
      </c>
      <c r="I60" s="22" t="n">
        <v>46027</v>
      </c>
      <c r="J60" s="22">
        <f>I60+G60</f>
        <v/>
      </c>
      <c r="K60">
        <f>IF(J60&lt;=TODAY(),"ОБСЛУЖИТЬ",IF(J60-TODAY()&lt;=H60,"Внимание","Не требуется"))</f>
        <v/>
      </c>
    </row>
    <row r="61">
      <c r="A61" t="n">
        <v>57</v>
      </c>
      <c r="B61" t="inlineStr">
        <is>
          <t>ЗИФ-1</t>
        </is>
      </c>
      <c r="C61" t="inlineStr">
        <is>
          <t>Шкаф ПЛК Парогенератора</t>
        </is>
      </c>
      <c r="D61" t="inlineStr">
        <is>
          <t>ТИТАН-1000 НТ536</t>
        </is>
      </c>
      <c r="E61" t="inlineStr">
        <is>
          <t>Парогенераторы. Cорбция</t>
        </is>
      </c>
      <c r="F61" t="inlineStr">
        <is>
          <t>Визуальный осмотр, продуть от пыли</t>
        </is>
      </c>
      <c r="G61" t="n">
        <v>60</v>
      </c>
      <c r="H61" t="n">
        <v>3</v>
      </c>
      <c r="I61" s="22" t="n">
        <v>46027</v>
      </c>
      <c r="J61" s="22">
        <f>I61+G61</f>
        <v/>
      </c>
      <c r="K61">
        <f>IF(J61&lt;=TODAY(),"ОБСЛУЖИТЬ",IF(J61-TODAY()&lt;=H61,"Внимание","Не требуется"))</f>
        <v/>
      </c>
    </row>
    <row r="62">
      <c r="A62" t="n">
        <v>58</v>
      </c>
      <c r="B62" t="inlineStr">
        <is>
          <t>ЗИФ-1</t>
        </is>
      </c>
      <c r="C62" t="inlineStr">
        <is>
          <t>Шкаф Фильтра ОСМОС</t>
        </is>
      </c>
      <c r="D62" t="inlineStr">
        <is>
          <t>OSMOS</t>
        </is>
      </c>
      <c r="E62" t="inlineStr">
        <is>
          <t>Парогенераторы. Cорбция</t>
        </is>
      </c>
      <c r="F62" t="inlineStr">
        <is>
          <t>Визуальный осмотр, продуть от пыли</t>
        </is>
      </c>
      <c r="G62" t="n">
        <v>60</v>
      </c>
      <c r="H62" t="n">
        <v>3</v>
      </c>
      <c r="I62" s="22" t="n">
        <v>46027</v>
      </c>
      <c r="J62" s="22">
        <f>I62+G62</f>
        <v/>
      </c>
      <c r="K62">
        <f>IF(J62&lt;=TODAY(),"ОБСЛУЖИТЬ",IF(J62-TODAY()&lt;=H62,"Внимание","Не требуется"))</f>
        <v/>
      </c>
    </row>
    <row r="63">
      <c r="A63" t="n">
        <v>59</v>
      </c>
      <c r="B63" t="inlineStr">
        <is>
          <t>ЗИФ-1</t>
        </is>
      </c>
      <c r="C63" t="inlineStr">
        <is>
          <t>Шкаф ПЛК АГЖУ</t>
        </is>
      </c>
      <c r="D63" t="inlineStr">
        <is>
          <t>Тайра 23</t>
        </is>
      </c>
      <c r="E63" t="inlineStr">
        <is>
          <t>АБК</t>
        </is>
      </c>
      <c r="F63" t="inlineStr">
        <is>
          <t>Визуальный осмотр, продуть от пыли</t>
        </is>
      </c>
      <c r="G63" t="n">
        <v>60</v>
      </c>
      <c r="H63" t="n">
        <v>3</v>
      </c>
      <c r="I63" s="25" t="n">
        <v>46027</v>
      </c>
      <c r="J63" s="22">
        <f>I63+G63</f>
        <v/>
      </c>
      <c r="K63">
        <f>IF(J63&lt;=TODAY(),"ОБСЛУЖИТЬ",IF(J63-TODAY()&lt;=H63,"Внимание","Не требуется"))</f>
        <v/>
      </c>
    </row>
    <row r="64">
      <c r="A64" t="n">
        <v>60</v>
      </c>
      <c r="B64" t="inlineStr">
        <is>
          <t>ЗИФ-1</t>
        </is>
      </c>
      <c r="C64" t="inlineStr">
        <is>
          <t>Шкаф ПЛК АГЖУ</t>
        </is>
      </c>
      <c r="D64" t="inlineStr">
        <is>
          <t>Тайра 101</t>
        </is>
      </c>
      <c r="E64" t="inlineStr">
        <is>
          <t>АБК</t>
        </is>
      </c>
      <c r="F64" t="inlineStr">
        <is>
          <t>Визуальный осмотр, продуть от пыли</t>
        </is>
      </c>
      <c r="G64" t="n">
        <v>60</v>
      </c>
      <c r="H64" t="n">
        <v>3</v>
      </c>
      <c r="I64" s="25" t="n">
        <v>46027</v>
      </c>
      <c r="J64" s="22">
        <f>I64+G64</f>
        <v/>
      </c>
      <c r="K64">
        <f>IF(J64&lt;=TODAY(),"ОБСЛУЖИТЬ",IF(J64-TODAY()&lt;=H64,"Внимание","Не требуется"))</f>
        <v/>
      </c>
    </row>
    <row r="65">
      <c r="A65" t="n">
        <v>61</v>
      </c>
      <c r="B65" t="inlineStr">
        <is>
          <t>ЗИФ-1</t>
        </is>
      </c>
      <c r="C65" t="inlineStr">
        <is>
          <t>Шкаф ПЛК АГЖУ</t>
        </is>
      </c>
      <c r="D65" t="inlineStr">
        <is>
          <t>Тайра 58</t>
        </is>
      </c>
      <c r="E65" t="inlineStr">
        <is>
          <t>Венткамера 8</t>
        </is>
      </c>
      <c r="F65" t="inlineStr">
        <is>
          <t>Визуальный осмотр, продуть от пыли</t>
        </is>
      </c>
      <c r="G65" t="n">
        <v>60</v>
      </c>
      <c r="H65" t="n">
        <v>3</v>
      </c>
      <c r="I65" s="25" t="n">
        <v>46027</v>
      </c>
      <c r="J65" s="22">
        <f>I65+G65</f>
        <v/>
      </c>
      <c r="K65">
        <f>IF(J65&lt;=TODAY(),"ОБСЛУЖИТЬ",IF(J65-TODAY()&lt;=H65,"Внимание","Не требуется"))</f>
        <v/>
      </c>
    </row>
    <row r="66">
      <c r="A66" t="n">
        <v>62</v>
      </c>
      <c r="B66" t="inlineStr">
        <is>
          <t>ЗИФ-1</t>
        </is>
      </c>
      <c r="C66" t="inlineStr">
        <is>
          <t>Шкаф коммуникационный</t>
        </is>
      </c>
      <c r="D66" t="inlineStr">
        <is>
          <t>ODF-9</t>
        </is>
      </c>
      <c r="E66" t="inlineStr">
        <is>
          <t>АДР</t>
        </is>
      </c>
      <c r="F66" t="inlineStr">
        <is>
          <t>Визуальный осмотр, продуть от пыли</t>
        </is>
      </c>
      <c r="G66" t="n">
        <v>60</v>
      </c>
      <c r="H66" t="n">
        <v>3</v>
      </c>
      <c r="I66" s="25" t="n">
        <v>46027</v>
      </c>
      <c r="J66" s="22">
        <f>I66+G66</f>
        <v/>
      </c>
      <c r="K66">
        <f>IF(J66&lt;=TODAY(),"ОБСЛУЖИТЬ",IF(J66-TODAY()&lt;=H66,"Внимание","Не требуется"))</f>
        <v/>
      </c>
    </row>
    <row r="67">
      <c r="A67" t="n">
        <v>63</v>
      </c>
      <c r="B67" t="inlineStr">
        <is>
          <t>ЗИФ-1</t>
        </is>
      </c>
      <c r="C67" t="inlineStr">
        <is>
          <t>Шкаф ПЛК ЗУМПФ-1</t>
        </is>
      </c>
      <c r="D67" t="inlineStr">
        <is>
          <t>ШУН3</t>
        </is>
      </c>
      <c r="E67" t="inlineStr">
        <is>
          <t>Зумпф1</t>
        </is>
      </c>
      <c r="F67" t="inlineStr">
        <is>
          <t>Визуальный осмотр, продуть от пыли, проверить состояние ИБП</t>
        </is>
      </c>
      <c r="G67" t="n">
        <v>60</v>
      </c>
      <c r="H67" t="n">
        <v>3</v>
      </c>
      <c r="I67" s="22" t="n">
        <v>45966</v>
      </c>
      <c r="J67" s="22">
        <f>I67+G67</f>
        <v/>
      </c>
      <c r="K67">
        <f>IF(J67&lt;=TODAY(),"ОБСЛУЖИТЬ",IF(J67-TODAY()&lt;=H67,"Внимание","Не требуется"))</f>
        <v/>
      </c>
    </row>
    <row r="68">
      <c r="A68" t="n">
        <v>64</v>
      </c>
      <c r="B68" t="inlineStr">
        <is>
          <t>ЗИФ-1</t>
        </is>
      </c>
      <c r="C68" t="inlineStr">
        <is>
          <t>Шкаф ПЛК ЗУМПФ-3</t>
        </is>
      </c>
      <c r="D68" t="inlineStr">
        <is>
          <t>ШУН3</t>
        </is>
      </c>
      <c r="E68" t="inlineStr">
        <is>
          <t>Зумпф3</t>
        </is>
      </c>
      <c r="F68" t="inlineStr">
        <is>
          <t>Визуальный осмотр, продуть от пыли, проверить состояние ИБП</t>
        </is>
      </c>
      <c r="G68" t="n">
        <v>60</v>
      </c>
      <c r="H68" t="n">
        <v>3</v>
      </c>
      <c r="I68" s="22" t="n">
        <v>45968</v>
      </c>
      <c r="J68" s="22">
        <f>I68+G68</f>
        <v/>
      </c>
      <c r="K68">
        <f>IF(J68&lt;=TODAY(),"ОБСЛУЖИТЬ",IF(J68-TODAY()&lt;=H68,"Внимание","Не требуется"))</f>
        <v/>
      </c>
    </row>
    <row r="69">
      <c r="A69" t="n">
        <v>65</v>
      </c>
      <c r="B69" t="inlineStr">
        <is>
          <t>ЗИФ-1</t>
        </is>
      </c>
      <c r="C69" t="inlineStr">
        <is>
          <t>Шкаф ввода-вывода Грабли 450</t>
        </is>
      </c>
      <c r="D69" t="inlineStr">
        <is>
          <t>080TN450 LCP01A01</t>
        </is>
      </c>
      <c r="E69" t="inlineStr">
        <is>
          <t>Сорбция</t>
        </is>
      </c>
      <c r="F69" t="inlineStr">
        <is>
          <t>Визуальный осмотр, продуть от пыли, проверить состояние ИБП</t>
        </is>
      </c>
      <c r="G69" t="n">
        <v>60</v>
      </c>
      <c r="H69" t="n">
        <v>3</v>
      </c>
      <c r="I69" s="25" t="n">
        <v>45976</v>
      </c>
      <c r="J69" s="22">
        <f>I69+G69</f>
        <v/>
      </c>
      <c r="K69">
        <f>IF(J69&lt;=TODAY(),"ОБСЛУЖИТЬ",IF(J69-TODAY()&lt;=H69,"Внимание","Не требуется"))</f>
        <v/>
      </c>
    </row>
    <row r="70">
      <c r="A70" t="n">
        <v>66</v>
      </c>
      <c r="B70" t="inlineStr">
        <is>
          <t>ЗИФ-1</t>
        </is>
      </c>
      <c r="C70" t="inlineStr">
        <is>
          <t>Шкаф ввода-вывода Грабли 590</t>
        </is>
      </c>
      <c r="D70" t="inlineStr">
        <is>
          <t>080TN590 LCP01A01</t>
        </is>
      </c>
      <c r="E70" t="inlineStr">
        <is>
          <t>Сорбция</t>
        </is>
      </c>
      <c r="F70" t="inlineStr">
        <is>
          <t>Визуальный осмотр, продуть от пыли, проверить состояние ИБП</t>
        </is>
      </c>
      <c r="G70" t="n">
        <v>60</v>
      </c>
      <c r="H70" t="n">
        <v>3</v>
      </c>
      <c r="I70" s="25" t="n">
        <v>45976</v>
      </c>
      <c r="J70" s="22">
        <f>I70+G70</f>
        <v/>
      </c>
      <c r="K70">
        <f>IF(J70&lt;=TODAY(),"ОБСЛУЖИТЬ",IF(J70-TODAY()&lt;=H70,"Внимание","Не требуется"))</f>
        <v/>
      </c>
    </row>
    <row r="71">
      <c r="A71" t="n">
        <v>67</v>
      </c>
      <c r="B71" t="inlineStr">
        <is>
          <t>ЗИФ-1</t>
        </is>
      </c>
      <c r="C71" t="inlineStr">
        <is>
          <t>Шкаф ПЛК Acacia</t>
        </is>
      </c>
      <c r="D71" t="inlineStr">
        <is>
          <t>LCP-01</t>
        </is>
      </c>
      <c r="E71" t="inlineStr">
        <is>
          <t>Категория ЗИФ, Акация-1</t>
        </is>
      </c>
      <c r="F71" t="inlineStr">
        <is>
          <t>Визуальный осмотр, продуть от пыли</t>
        </is>
      </c>
      <c r="G71" t="n">
        <v>60</v>
      </c>
      <c r="H71" t="n">
        <v>3</v>
      </c>
      <c r="I71" s="22" t="n">
        <v>45977</v>
      </c>
      <c r="J71" s="22">
        <f>I71+G71</f>
        <v/>
      </c>
      <c r="K71">
        <f>IF(J71&lt;=TODAY(),"ОБСЛУЖИТЬ",IF(J71-TODAY()&lt;=H71,"Внимание","Не требуется"))</f>
        <v/>
      </c>
    </row>
    <row r="72">
      <c r="A72" t="n">
        <v>68</v>
      </c>
      <c r="B72" t="inlineStr">
        <is>
          <t>ЗИФ-1</t>
        </is>
      </c>
      <c r="C72" t="inlineStr">
        <is>
          <t>Шкаф ввода-вывода Acacia</t>
        </is>
      </c>
      <c r="D72" t="inlineStr">
        <is>
          <t>LCP-04</t>
        </is>
      </c>
      <c r="E72" t="inlineStr">
        <is>
          <t>Категория ЗИФ, Акация-1</t>
        </is>
      </c>
      <c r="F72" t="inlineStr">
        <is>
          <t>Визуальный осмотр, продуть от пыли</t>
        </is>
      </c>
      <c r="G72" t="n">
        <v>60</v>
      </c>
      <c r="H72" t="n">
        <v>3</v>
      </c>
      <c r="I72" s="22" t="n">
        <v>45977</v>
      </c>
      <c r="J72" s="22">
        <f>I72+G72</f>
        <v/>
      </c>
      <c r="K72">
        <f>IF(J72&lt;=TODAY(),"ОБСЛУЖИТЬ",IF(J72-TODAY()&lt;=H72,"Внимание","Не требуется"))</f>
        <v/>
      </c>
    </row>
    <row r="73">
      <c r="A73" t="n">
        <v>69</v>
      </c>
      <c r="B73" t="inlineStr">
        <is>
          <t>ЗИФ-1</t>
        </is>
      </c>
      <c r="C73" t="inlineStr">
        <is>
          <t>Шкаф ПЛК Acacia</t>
        </is>
      </c>
      <c r="D73" t="inlineStr">
        <is>
          <t>LCP-101</t>
        </is>
      </c>
      <c r="E73" t="inlineStr">
        <is>
          <t>Категория ЗИФ, Акация-2</t>
        </is>
      </c>
      <c r="F73" t="inlineStr">
        <is>
          <t>Визуальный осмотр, продуть от пыли</t>
        </is>
      </c>
      <c r="G73" t="n">
        <v>60</v>
      </c>
      <c r="H73" t="n">
        <v>3</v>
      </c>
      <c r="I73" s="22" t="n">
        <v>45977</v>
      </c>
      <c r="J73" s="22">
        <f>I73+G73</f>
        <v/>
      </c>
      <c r="K73">
        <f>IF(J73&lt;=TODAY(),"ОБСЛУЖИТЬ",IF(J73-TODAY()&lt;=H73,"Внимание","Не требуется"))</f>
        <v/>
      </c>
    </row>
    <row r="74">
      <c r="A74" t="n">
        <v>70</v>
      </c>
      <c r="B74" t="inlineStr">
        <is>
          <t>ЗИФ-1</t>
        </is>
      </c>
      <c r="C74" t="inlineStr">
        <is>
          <t>Шкаф ввода-вывода Acacia</t>
        </is>
      </c>
      <c r="D74" t="inlineStr">
        <is>
          <t>LCP-104</t>
        </is>
      </c>
      <c r="E74" t="inlineStr">
        <is>
          <t>Категория ЗИФ, Акация-2</t>
        </is>
      </c>
      <c r="F74" t="inlineStr">
        <is>
          <t>Визуальный осмотр, продуть от пыли</t>
        </is>
      </c>
      <c r="G74" t="n">
        <v>60</v>
      </c>
      <c r="H74" t="n">
        <v>3</v>
      </c>
      <c r="I74" s="22" t="n">
        <v>45977</v>
      </c>
      <c r="J74" s="22">
        <f>I74+G74</f>
        <v/>
      </c>
      <c r="K74">
        <f>IF(J74&lt;=TODAY(),"ОБСЛУЖИТЬ",IF(J74-TODAY()&lt;=H74,"Внимание","Не требуется"))</f>
        <v/>
      </c>
    </row>
    <row r="75">
      <c r="A75" t="n">
        <v>71</v>
      </c>
      <c r="B75" t="inlineStr">
        <is>
          <t>ЗИФ-1</t>
        </is>
      </c>
      <c r="C75" t="inlineStr">
        <is>
          <t>Шкаф ПЛК Knelson</t>
        </is>
      </c>
      <c r="D75" t="inlineStr">
        <is>
          <t>МСP-01</t>
        </is>
      </c>
      <c r="E75" t="inlineStr">
        <is>
          <t>Категория ЗИФ, Концентраторы</t>
        </is>
      </c>
      <c r="F75" t="inlineStr">
        <is>
          <t>Визуальный осмотр, продуть от пыли</t>
        </is>
      </c>
      <c r="G75" t="n">
        <v>60</v>
      </c>
      <c r="H75" t="n">
        <v>3</v>
      </c>
      <c r="I75" s="22" t="n">
        <v>45977</v>
      </c>
      <c r="J75" s="22">
        <f>I75+G75</f>
        <v/>
      </c>
      <c r="K75">
        <f>IF(J75&lt;=TODAY(),"ОБСЛУЖИТЬ",IF(J75-TODAY()&lt;=H75,"Внимание","Не требуется"))</f>
        <v/>
      </c>
    </row>
    <row r="76">
      <c r="A76" t="n">
        <v>72</v>
      </c>
      <c r="B76" t="inlineStr">
        <is>
          <t>ЗИФ-1</t>
        </is>
      </c>
      <c r="C76" t="inlineStr">
        <is>
          <t>Шкаф ввода-вывода Knelson</t>
        </is>
      </c>
      <c r="D76" t="inlineStr">
        <is>
          <t>NCP-01</t>
        </is>
      </c>
      <c r="E76" t="inlineStr">
        <is>
          <t>Категория ЗИФ, Концентраторы</t>
        </is>
      </c>
      <c r="F76" t="inlineStr">
        <is>
          <t>Визуальный осмотр, продуть от пыли</t>
        </is>
      </c>
      <c r="G76" t="n">
        <v>60</v>
      </c>
      <c r="H76" t="n">
        <v>3</v>
      </c>
      <c r="I76" s="22" t="n">
        <v>45977</v>
      </c>
      <c r="J76" s="22">
        <f>I76+G76</f>
        <v/>
      </c>
      <c r="K76">
        <f>IF(J76&lt;=TODAY(),"ОБСЛУЖИТЬ",IF(J76-TODAY()&lt;=H76,"Внимание","Не требуется"))</f>
        <v/>
      </c>
    </row>
    <row r="77">
      <c r="A77" t="n">
        <v>73</v>
      </c>
      <c r="B77" t="inlineStr">
        <is>
          <t>ЗИФ-1</t>
        </is>
      </c>
      <c r="C77" t="inlineStr">
        <is>
          <t>Шкаф ввода-вывода Knelson</t>
        </is>
      </c>
      <c r="D77" t="inlineStr">
        <is>
          <t>NCP-02</t>
        </is>
      </c>
      <c r="E77" t="inlineStr">
        <is>
          <t>Категория ЗИФ, Концентраторы</t>
        </is>
      </c>
      <c r="F77" t="inlineStr">
        <is>
          <t>Визуальный осмотр, продуть от пыли</t>
        </is>
      </c>
      <c r="G77" t="n">
        <v>60</v>
      </c>
      <c r="H77" t="n">
        <v>3</v>
      </c>
      <c r="I77" s="22" t="n">
        <v>45977</v>
      </c>
      <c r="J77" s="22">
        <f>I77+G77</f>
        <v/>
      </c>
      <c r="K77">
        <f>IF(J77&lt;=TODAY(),"ОБСЛУЖИТЬ",IF(J77-TODAY()&lt;=H77,"Внимание","Не требуется"))</f>
        <v/>
      </c>
    </row>
    <row r="78">
      <c r="A78" t="n">
        <v>74</v>
      </c>
      <c r="B78" t="inlineStr">
        <is>
          <t>ЗИФ-1</t>
        </is>
      </c>
      <c r="C78" t="inlineStr">
        <is>
          <t>Шкаф ввода-вывода Knelson</t>
        </is>
      </c>
      <c r="D78" t="inlineStr">
        <is>
          <t>NCP-03</t>
        </is>
      </c>
      <c r="E78" t="inlineStr">
        <is>
          <t>Категория ЗИФ, Концентраторы</t>
        </is>
      </c>
      <c r="F78" t="inlineStr">
        <is>
          <t>Визуальный осмотр, продуть от пыли</t>
        </is>
      </c>
      <c r="G78" t="n">
        <v>60</v>
      </c>
      <c r="H78" t="n">
        <v>3</v>
      </c>
      <c r="I78" s="22" t="n">
        <v>45977</v>
      </c>
      <c r="J78" s="22">
        <f>I78+G78</f>
        <v/>
      </c>
      <c r="K78">
        <f>IF(J78&lt;=TODAY(),"ОБСЛУЖИТЬ",IF(J78-TODAY()&lt;=H78,"Внимание","Не требуется"))</f>
        <v/>
      </c>
    </row>
    <row r="79">
      <c r="A79" t="n">
        <v>75</v>
      </c>
      <c r="B79" t="inlineStr">
        <is>
          <t>ЗИФ-1</t>
        </is>
      </c>
      <c r="C79" t="inlineStr">
        <is>
          <t>Шкаф ввода-вывода Knelson</t>
        </is>
      </c>
      <c r="D79" t="inlineStr">
        <is>
          <t>NCP-04</t>
        </is>
      </c>
      <c r="E79" t="inlineStr">
        <is>
          <t>Категория ЗИФ, Концентраторы</t>
        </is>
      </c>
      <c r="F79" t="inlineStr">
        <is>
          <t>Визуальный осмотр, продуть от пыли</t>
        </is>
      </c>
      <c r="G79" t="n">
        <v>60</v>
      </c>
      <c r="H79" t="n">
        <v>3</v>
      </c>
      <c r="I79" s="22" t="n">
        <v>45977</v>
      </c>
      <c r="J79" s="22">
        <f>I79+G79</f>
        <v/>
      </c>
      <c r="K79">
        <f>IF(J79&lt;=TODAY(),"ОБСЛУЖИТЬ",IF(J79-TODAY()&lt;=H79,"Внимание","Не требуется"))</f>
        <v/>
      </c>
    </row>
    <row r="80">
      <c r="A80" t="n">
        <v>76</v>
      </c>
      <c r="B80" t="inlineStr">
        <is>
          <t>ЗИФ-1</t>
        </is>
      </c>
      <c r="C80" t="inlineStr">
        <is>
          <t>Шкаф ввода-вывода Knelson</t>
        </is>
      </c>
      <c r="D80" t="inlineStr">
        <is>
          <t>NCP-09</t>
        </is>
      </c>
      <c r="E80" t="inlineStr">
        <is>
          <t>Категория ЗИФ, Концентраторы</t>
        </is>
      </c>
      <c r="F80" t="inlineStr">
        <is>
          <t>Визуальный осмотр, продуть от пыли</t>
        </is>
      </c>
      <c r="G80" t="n">
        <v>60</v>
      </c>
      <c r="H80" t="n">
        <v>3</v>
      </c>
      <c r="I80" s="22" t="n">
        <v>45977</v>
      </c>
      <c r="J80" s="22">
        <f>I80+G80</f>
        <v/>
      </c>
      <c r="K80">
        <f>IF(J80&lt;=TODAY(),"ОБСЛУЖИТЬ",IF(J80-TODAY()&lt;=H80,"Внимание","Не требуется"))</f>
        <v/>
      </c>
    </row>
    <row r="81">
      <c r="A81" t="n">
        <v>77</v>
      </c>
      <c r="B81" t="inlineStr">
        <is>
          <t>ЗИФ-1</t>
        </is>
      </c>
      <c r="C81" t="inlineStr">
        <is>
          <t>Шкаф ПЛК Knelson</t>
        </is>
      </c>
      <c r="D81" t="inlineStr">
        <is>
          <t>МСP-02</t>
        </is>
      </c>
      <c r="E81" t="inlineStr">
        <is>
          <t>Категория ЗИФ, Концентраторы</t>
        </is>
      </c>
      <c r="F81" t="inlineStr">
        <is>
          <t>Визуальный осмотр, продуть от пыли</t>
        </is>
      </c>
      <c r="G81" t="n">
        <v>60</v>
      </c>
      <c r="H81" t="n">
        <v>3</v>
      </c>
      <c r="I81" s="22" t="n">
        <v>45977</v>
      </c>
      <c r="J81" s="22">
        <f>I81+G81</f>
        <v/>
      </c>
      <c r="K81">
        <f>IF(J81&lt;=TODAY(),"ОБСЛУЖИТЬ",IF(J81-TODAY()&lt;=H81,"Внимание","Не требуется"))</f>
        <v/>
      </c>
    </row>
    <row r="82">
      <c r="A82" t="n">
        <v>78</v>
      </c>
      <c r="B82" t="inlineStr">
        <is>
          <t>ЗИФ-1</t>
        </is>
      </c>
      <c r="C82" t="inlineStr">
        <is>
          <t>Шкаф ввода-вывода Knelson</t>
        </is>
      </c>
      <c r="D82" t="inlineStr">
        <is>
          <t>NCP-05</t>
        </is>
      </c>
      <c r="E82" t="inlineStr">
        <is>
          <t>Категория ЗИФ, Концентраторы</t>
        </is>
      </c>
      <c r="F82" t="inlineStr">
        <is>
          <t>Визуальный осмотр, продуть от пыли</t>
        </is>
      </c>
      <c r="G82" t="n">
        <v>60</v>
      </c>
      <c r="H82" t="n">
        <v>3</v>
      </c>
      <c r="I82" s="22" t="n">
        <v>45977</v>
      </c>
      <c r="J82" s="22">
        <f>I82+G82</f>
        <v/>
      </c>
      <c r="K82">
        <f>IF(J82&lt;=TODAY(),"ОБСЛУЖИТЬ",IF(J82-TODAY()&lt;=H82,"Внимание","Не требуется"))</f>
        <v/>
      </c>
    </row>
    <row r="83">
      <c r="A83" t="n">
        <v>79</v>
      </c>
      <c r="B83" t="inlineStr">
        <is>
          <t>ЗИФ-1</t>
        </is>
      </c>
      <c r="C83" t="inlineStr">
        <is>
          <t>Шкаф ввода-вывода Knelson</t>
        </is>
      </c>
      <c r="D83" t="inlineStr">
        <is>
          <t>NCP-06</t>
        </is>
      </c>
      <c r="E83" t="inlineStr">
        <is>
          <t>Категория ЗИФ, Концентраторы</t>
        </is>
      </c>
      <c r="F83" t="inlineStr">
        <is>
          <t>Визуальный осмотр, продуть от пыли</t>
        </is>
      </c>
      <c r="G83" t="n">
        <v>60</v>
      </c>
      <c r="H83" t="n">
        <v>3</v>
      </c>
      <c r="I83" s="22" t="n">
        <v>45977</v>
      </c>
      <c r="J83" s="22">
        <f>I83+G83</f>
        <v/>
      </c>
      <c r="K83">
        <f>IF(J83&lt;=TODAY(),"ОБСЛУЖИТЬ",IF(J83-TODAY()&lt;=H83,"Внимание","Не требуется"))</f>
        <v/>
      </c>
    </row>
    <row r="84">
      <c r="A84" t="n">
        <v>80</v>
      </c>
      <c r="B84" t="inlineStr">
        <is>
          <t>ЗИФ-1</t>
        </is>
      </c>
      <c r="C84" t="inlineStr">
        <is>
          <t>Шкаф ввода-вывода Knelson</t>
        </is>
      </c>
      <c r="D84" t="inlineStr">
        <is>
          <t>NCP-07</t>
        </is>
      </c>
      <c r="E84" t="inlineStr">
        <is>
          <t>Категория ЗИФ, Концентраторы</t>
        </is>
      </c>
      <c r="F84" t="inlineStr">
        <is>
          <t>Визуальный осмотр, продуть от пыли</t>
        </is>
      </c>
      <c r="G84" t="n">
        <v>60</v>
      </c>
      <c r="H84" t="n">
        <v>3</v>
      </c>
      <c r="I84" s="22" t="n">
        <v>45977</v>
      </c>
      <c r="J84" s="22">
        <f>I84+G84</f>
        <v/>
      </c>
      <c r="K84">
        <f>IF(J84&lt;=TODAY(),"ОБСЛУЖИТЬ",IF(J84-TODAY()&lt;=H84,"Внимание","Не требуется"))</f>
        <v/>
      </c>
    </row>
    <row r="85">
      <c r="A85" t="n">
        <v>81</v>
      </c>
      <c r="B85" t="inlineStr">
        <is>
          <t>ЗИФ-1</t>
        </is>
      </c>
      <c r="C85" t="inlineStr">
        <is>
          <t>Шкаф ввода-вывода Knelson</t>
        </is>
      </c>
      <c r="D85" t="inlineStr">
        <is>
          <t>NCP-08</t>
        </is>
      </c>
      <c r="E85" t="inlineStr">
        <is>
          <t>Категория ЗИФ, Концентраторы</t>
        </is>
      </c>
      <c r="F85" t="inlineStr">
        <is>
          <t>Визуальный осмотр, продуть от пыли</t>
        </is>
      </c>
      <c r="G85" t="n">
        <v>60</v>
      </c>
      <c r="H85" t="n">
        <v>3</v>
      </c>
      <c r="I85" s="22" t="n">
        <v>45977</v>
      </c>
      <c r="J85" s="22">
        <f>I85+G85</f>
        <v/>
      </c>
      <c r="K85">
        <f>IF(J85&lt;=TODAY(),"ОБСЛУЖИТЬ",IF(J85-TODAY()&lt;=H85,"Внимание","Не требуется"))</f>
        <v/>
      </c>
    </row>
    <row r="86">
      <c r="A86" t="n">
        <v>82</v>
      </c>
      <c r="B86" t="inlineStr">
        <is>
          <t>ЗИФ-1</t>
        </is>
      </c>
      <c r="C86" t="inlineStr">
        <is>
          <t>Шкаф ввода-вывода Knelson</t>
        </is>
      </c>
      <c r="D86" t="inlineStr">
        <is>
          <t>NCP-10</t>
        </is>
      </c>
      <c r="E86" t="inlineStr">
        <is>
          <t>Категория ЗИФ, Концентраторы</t>
        </is>
      </c>
      <c r="F86" t="inlineStr">
        <is>
          <t>Визуальный осмотр, продуть от пыли</t>
        </is>
      </c>
      <c r="G86" t="n">
        <v>60</v>
      </c>
      <c r="H86" t="n">
        <v>3</v>
      </c>
      <c r="I86" s="22" t="n">
        <v>45977</v>
      </c>
      <c r="J86" s="22">
        <f>I86+G86</f>
        <v/>
      </c>
      <c r="K86">
        <f>IF(J86&lt;=TODAY(),"ОБСЛУЖИТЬ",IF(J86-TODAY()&lt;=H86,"Внимание","Не требуется"))</f>
        <v/>
      </c>
    </row>
    <row r="87">
      <c r="A87" t="n">
        <v>83</v>
      </c>
      <c r="B87" t="inlineStr">
        <is>
          <t>ЗИФ-1</t>
        </is>
      </c>
      <c r="C87" t="inlineStr">
        <is>
          <t>Шкаф ПЛК</t>
        </is>
      </c>
      <c r="D87" t="inlineStr">
        <is>
          <t>900-LCP01A01</t>
        </is>
      </c>
      <c r="E87" t="inlineStr">
        <is>
          <t>Цех Ксантогената</t>
        </is>
      </c>
      <c r="F87" t="inlineStr">
        <is>
          <t>Визуальный осмотр, продуть от пыли, проверить состояние ИБП</t>
        </is>
      </c>
      <c r="G87" t="n">
        <v>60</v>
      </c>
      <c r="H87" t="n">
        <v>3</v>
      </c>
      <c r="I87" s="22" t="n">
        <v>45977</v>
      </c>
      <c r="J87" s="22">
        <f>I87+G87</f>
        <v/>
      </c>
      <c r="K87">
        <f>IF(J87&lt;=TODAY(),"ОБСЛУЖИТЬ",IF(J87-TODAY()&lt;=H87,"Внимание","Не требуется"))</f>
        <v/>
      </c>
    </row>
    <row r="88">
      <c r="A88" t="n">
        <v>84</v>
      </c>
      <c r="B88" t="inlineStr">
        <is>
          <t>ЗИФ-1</t>
        </is>
      </c>
      <c r="C88" t="inlineStr">
        <is>
          <t xml:space="preserve">Шкаф ввода-вывода </t>
        </is>
      </c>
      <c r="D88" t="inlineStr">
        <is>
          <t>900-LCP02A01</t>
        </is>
      </c>
      <c r="E88" t="inlineStr">
        <is>
          <t>Цех Ксантогената</t>
        </is>
      </c>
      <c r="F88" t="inlineStr">
        <is>
          <t>Визуальный осмотр, продуть от пыли, проверить состояние ИБП</t>
        </is>
      </c>
      <c r="G88" t="n">
        <v>60</v>
      </c>
      <c r="H88" t="n">
        <v>3</v>
      </c>
      <c r="I88" s="22" t="n">
        <v>45977</v>
      </c>
      <c r="J88" s="22">
        <f>I88+G88</f>
        <v/>
      </c>
      <c r="K88">
        <f>IF(J88&lt;=TODAY(),"ОБСЛУЖИТЬ",IF(J88-TODAY()&lt;=H88,"Внимание","Не требуется"))</f>
        <v/>
      </c>
    </row>
    <row r="89">
      <c r="A89" t="n">
        <v>85</v>
      </c>
      <c r="B89" t="inlineStr">
        <is>
          <t>ЗИФ-1</t>
        </is>
      </c>
      <c r="C89" t="inlineStr">
        <is>
          <t xml:space="preserve">Шкаф ввода-вывода </t>
        </is>
      </c>
      <c r="D89" t="inlineStr">
        <is>
          <t>905-LCP02A04</t>
        </is>
      </c>
      <c r="E89" t="inlineStr">
        <is>
          <t>Цех MIBC</t>
        </is>
      </c>
      <c r="F89" t="inlineStr">
        <is>
          <t>Визуальный осмотр, продуть от пыли, проверить состояние ИБП</t>
        </is>
      </c>
      <c r="G89" t="n">
        <v>60</v>
      </c>
      <c r="H89" t="n">
        <v>3</v>
      </c>
      <c r="I89" s="22" t="n">
        <v>45977</v>
      </c>
      <c r="J89" s="22">
        <f>I89+G89</f>
        <v/>
      </c>
      <c r="K89">
        <f>IF(J89&lt;=TODAY(),"ОБСЛУЖИТЬ",IF(J89-TODAY()&lt;=H89,"Внимание","Не требуется"))</f>
        <v/>
      </c>
    </row>
    <row r="90">
      <c r="A90" t="n">
        <v>86</v>
      </c>
      <c r="B90" t="inlineStr">
        <is>
          <t>ЗИФ-1</t>
        </is>
      </c>
      <c r="C90" t="inlineStr">
        <is>
          <t xml:space="preserve">Шкаф ввода-вывода </t>
        </is>
      </c>
      <c r="D90" t="inlineStr">
        <is>
          <t>910-LCP02A05</t>
        </is>
      </c>
      <c r="E90" t="inlineStr">
        <is>
          <t>Цех Гипохлорита</t>
        </is>
      </c>
      <c r="F90" t="inlineStr">
        <is>
          <t>Визуальный осмотр, продуть от пыли, проверить состояние ИБП</t>
        </is>
      </c>
      <c r="G90" t="n">
        <v>60</v>
      </c>
      <c r="H90" t="n">
        <v>3</v>
      </c>
      <c r="I90" s="22" t="n">
        <v>45977</v>
      </c>
      <c r="J90" s="22">
        <f>I90+G90</f>
        <v/>
      </c>
      <c r="K90">
        <f>IF(J90&lt;=TODAY(),"ОБСЛУЖИТЬ",IF(J90-TODAY()&lt;=H90,"Внимание","Не требуется"))</f>
        <v/>
      </c>
    </row>
    <row r="91">
      <c r="A91" t="n">
        <v>87</v>
      </c>
      <c r="B91" t="inlineStr">
        <is>
          <t>ЗИФ-1</t>
        </is>
      </c>
      <c r="C91" t="inlineStr">
        <is>
          <t xml:space="preserve">Шкаф ввода-вывода </t>
        </is>
      </c>
      <c r="D91" t="inlineStr">
        <is>
          <t>915-LCP02A06</t>
        </is>
      </c>
      <c r="E91" t="inlineStr">
        <is>
          <t>Цех Извести</t>
        </is>
      </c>
      <c r="F91" t="inlineStr">
        <is>
          <t>Визуальный осмотр, продуть от пыли, проверить состояние ИБП</t>
        </is>
      </c>
      <c r="G91" t="n">
        <v>60</v>
      </c>
      <c r="H91" t="n">
        <v>3</v>
      </c>
      <c r="I91" s="22" t="n">
        <v>45977</v>
      </c>
      <c r="J91" s="22">
        <f>I91+G91</f>
        <v/>
      </c>
      <c r="K91">
        <f>IF(J91&lt;=TODAY(),"ОБСЛУЖИТЬ",IF(J91-TODAY()&lt;=H91,"Внимание","Не требуется"))</f>
        <v/>
      </c>
    </row>
    <row r="92">
      <c r="A92" t="n">
        <v>88</v>
      </c>
      <c r="B92" t="inlineStr">
        <is>
          <t>ЗИФ-1</t>
        </is>
      </c>
      <c r="C92" t="inlineStr">
        <is>
          <t xml:space="preserve">Шкаф ввода-вывода </t>
        </is>
      </c>
      <c r="D92" t="inlineStr">
        <is>
          <t>920-LCP02A07</t>
        </is>
      </c>
      <c r="E92" t="inlineStr">
        <is>
          <t>Цех Медного купороса</t>
        </is>
      </c>
      <c r="F92" t="inlineStr">
        <is>
          <t>Визуальный осмотр, продуть от пыли, проверить состояние ИБП</t>
        </is>
      </c>
      <c r="G92" t="n">
        <v>60</v>
      </c>
      <c r="H92" t="n">
        <v>3</v>
      </c>
      <c r="I92" s="22" t="n">
        <v>45977</v>
      </c>
      <c r="J92" s="22">
        <f>I92+G92</f>
        <v/>
      </c>
      <c r="K92">
        <f>IF(J92&lt;=TODAY(),"ОБСЛУЖИТЬ",IF(J92-TODAY()&lt;=H92,"Внимание","Не требуется"))</f>
        <v/>
      </c>
    </row>
    <row r="93">
      <c r="A93" t="n">
        <v>89</v>
      </c>
      <c r="B93" t="inlineStr">
        <is>
          <t>ЗИФ-1</t>
        </is>
      </c>
      <c r="C93" t="inlineStr">
        <is>
          <t xml:space="preserve">Шкаф ввода-вывода </t>
        </is>
      </c>
      <c r="D93" t="inlineStr">
        <is>
          <t>925-LCP02A08</t>
        </is>
      </c>
      <c r="E93" t="inlineStr">
        <is>
          <t>Цех Щелочи</t>
        </is>
      </c>
      <c r="F93" t="inlineStr">
        <is>
          <t>Визуальный осмотр, продуть от пыли, проверить состояние ИБП</t>
        </is>
      </c>
      <c r="G93" t="n">
        <v>60</v>
      </c>
      <c r="H93" t="n">
        <v>3</v>
      </c>
      <c r="I93" s="22" t="n">
        <v>45977</v>
      </c>
      <c r="J93" s="22">
        <f>I93+G93</f>
        <v/>
      </c>
      <c r="K93">
        <f>IF(J93&lt;=TODAY(),"ОБСЛУЖИТЬ",IF(J93-TODAY()&lt;=H93,"Внимание","Не требуется"))</f>
        <v/>
      </c>
    </row>
    <row r="94">
      <c r="A94" t="n">
        <v>90</v>
      </c>
      <c r="B94" t="inlineStr">
        <is>
          <t>ЗИФ-1</t>
        </is>
      </c>
      <c r="C94" t="inlineStr">
        <is>
          <t xml:space="preserve">Шкаф ПЛК </t>
        </is>
      </c>
      <c r="D94" t="inlineStr">
        <is>
          <t>930-RP100Q02</t>
        </is>
      </c>
      <c r="E94" t="inlineStr">
        <is>
          <t>Цех Цианида</t>
        </is>
      </c>
      <c r="F94" t="inlineStr">
        <is>
          <t>Визуальный осмотр, продуть от пыли</t>
        </is>
      </c>
      <c r="G94" t="n">
        <v>60</v>
      </c>
      <c r="H94" t="n">
        <v>3</v>
      </c>
      <c r="I94" s="22" t="n">
        <v>45977</v>
      </c>
      <c r="J94" s="22">
        <f>I94+G94</f>
        <v/>
      </c>
      <c r="K94">
        <f>IF(J94&lt;=TODAY(),"ОБСЛУЖИТЬ",IF(J94-TODAY()&lt;=H94,"Внимание","Не требуется"))</f>
        <v/>
      </c>
    </row>
    <row r="95">
      <c r="A95" t="n">
        <v>91</v>
      </c>
      <c r="B95" t="inlineStr">
        <is>
          <t>ЗИФ-1</t>
        </is>
      </c>
      <c r="C95" t="inlineStr">
        <is>
          <t>Панель управления</t>
        </is>
      </c>
      <c r="D95" t="inlineStr">
        <is>
          <t>930-RP100Q01</t>
        </is>
      </c>
      <c r="E95" t="inlineStr">
        <is>
          <t>Цех Цианида</t>
        </is>
      </c>
      <c r="F95" t="inlineStr">
        <is>
          <t>Визуальный осмотр, продуть от пыли</t>
        </is>
      </c>
      <c r="G95" t="n">
        <v>60</v>
      </c>
      <c r="H95" t="n">
        <v>3</v>
      </c>
      <c r="I95" s="22" t="n">
        <v>45977</v>
      </c>
      <c r="J95" s="22">
        <f>I95+G95</f>
        <v/>
      </c>
      <c r="K95">
        <f>IF(J95&lt;=TODAY(),"ОБСЛУЖИТЬ",IF(J95-TODAY()&lt;=H95,"Внимание","Не требуется"))</f>
        <v/>
      </c>
    </row>
    <row r="96">
      <c r="A96" t="n">
        <v>92</v>
      </c>
      <c r="B96" t="inlineStr">
        <is>
          <t>ЗИФ-1</t>
        </is>
      </c>
      <c r="C96" t="inlineStr">
        <is>
          <t>Шкаф ПЛК Флоккулянта</t>
        </is>
      </c>
      <c r="D96" t="inlineStr">
        <is>
          <t>TN341</t>
        </is>
      </c>
      <c r="E96" t="inlineStr">
        <is>
          <t xml:space="preserve">Сгуститель 340 </t>
        </is>
      </c>
      <c r="F96" t="inlineStr">
        <is>
          <t>Визуальный осмотр, продуть от пыли</t>
        </is>
      </c>
      <c r="G96" t="n">
        <v>60</v>
      </c>
      <c r="H96" t="n">
        <v>3</v>
      </c>
      <c r="I96" s="22" t="n">
        <v>45977</v>
      </c>
      <c r="J96" s="22">
        <f>I96+G96</f>
        <v/>
      </c>
      <c r="K96">
        <f>IF(J96&lt;=TODAY(),"ОБСЛУЖИТЬ",IF(J96-TODAY()&lt;=H96,"Внимание","Не требуется"))</f>
        <v/>
      </c>
    </row>
    <row r="97">
      <c r="A97" t="n">
        <v>93</v>
      </c>
      <c r="B97" t="inlineStr">
        <is>
          <t>ЗИФ-1</t>
        </is>
      </c>
      <c r="C97" t="inlineStr">
        <is>
          <t>Шкаф ПЛК</t>
        </is>
      </c>
      <c r="D97" t="inlineStr">
        <is>
          <t>991CS100A01</t>
        </is>
      </c>
      <c r="E97" t="inlineStr">
        <is>
          <t>ПЛК АСУТП флотация</t>
        </is>
      </c>
      <c r="F97" t="inlineStr">
        <is>
          <t>Визуальный осмотр, продуть от пыли</t>
        </is>
      </c>
      <c r="G97" t="n">
        <v>93</v>
      </c>
      <c r="H97" t="n">
        <v>3</v>
      </c>
      <c r="I97" s="25" t="n">
        <v>45946</v>
      </c>
      <c r="J97" s="22">
        <f>I97+G97</f>
        <v/>
      </c>
      <c r="K97">
        <f>IF(J97&lt;=TODAY(),"ОБСЛУЖИТЬ",IF(J97-TODAY()&lt;=H97,"Внимание","Не требуется"))</f>
        <v/>
      </c>
    </row>
    <row r="98">
      <c r="A98" t="n">
        <v>94</v>
      </c>
      <c r="B98" t="inlineStr">
        <is>
          <t>ЗИФ-1</t>
        </is>
      </c>
      <c r="C98" t="inlineStr">
        <is>
          <t>Шкаф ввода-вывода</t>
        </is>
      </c>
      <c r="D98" t="inlineStr">
        <is>
          <t>991CS100A02</t>
        </is>
      </c>
      <c r="E98" t="inlineStr">
        <is>
          <t>ПЛК АСУТП флотация</t>
        </is>
      </c>
      <c r="F98" t="inlineStr">
        <is>
          <t>Визуальный осмотр, продуть от пыли</t>
        </is>
      </c>
      <c r="G98" t="n">
        <v>93</v>
      </c>
      <c r="H98" t="n">
        <v>3</v>
      </c>
      <c r="I98" s="25" t="n">
        <v>45946</v>
      </c>
      <c r="J98" s="22">
        <f>I98+G98</f>
        <v/>
      </c>
      <c r="K98">
        <f>IF(J98&lt;=TODAY(),"ОБСЛУЖИТЬ",IF(J98-TODAY()&lt;=H98,"Внимание","Не требуется"))</f>
        <v/>
      </c>
    </row>
    <row r="99">
      <c r="A99" t="n">
        <v>95</v>
      </c>
      <c r="B99" t="inlineStr">
        <is>
          <t>ЗИФ-1</t>
        </is>
      </c>
      <c r="C99" t="inlineStr">
        <is>
          <t>Шкаф ввода-вывода</t>
        </is>
      </c>
      <c r="D99" t="inlineStr">
        <is>
          <t>991CS100A03</t>
        </is>
      </c>
      <c r="E99" t="inlineStr">
        <is>
          <t>ПЛК АСУТП флотация</t>
        </is>
      </c>
      <c r="F99" t="inlineStr">
        <is>
          <t>Визуальный осмотр, продуть от пыли</t>
        </is>
      </c>
      <c r="G99" t="n">
        <v>93</v>
      </c>
      <c r="H99" t="n">
        <v>3</v>
      </c>
      <c r="I99" s="25" t="n">
        <v>45946</v>
      </c>
      <c r="J99" s="22">
        <f>I99+G99</f>
        <v/>
      </c>
      <c r="K99">
        <f>IF(J99&lt;=TODAY(),"ОБСЛУЖИТЬ",IF(J99-TODAY()&lt;=H99,"Внимание","Не требуется"))</f>
        <v/>
      </c>
    </row>
    <row r="100">
      <c r="A100" t="n">
        <v>96</v>
      </c>
      <c r="B100" t="inlineStr">
        <is>
          <t>ЗИФ-1</t>
        </is>
      </c>
      <c r="C100" t="inlineStr">
        <is>
          <t>Шкаф ввода-вывода</t>
        </is>
      </c>
      <c r="D100" t="inlineStr">
        <is>
          <t>991CS100A04</t>
        </is>
      </c>
      <c r="E100" t="inlineStr">
        <is>
          <t>ПЛК АСУТП флотация</t>
        </is>
      </c>
      <c r="F100" t="inlineStr">
        <is>
          <t>Визуальный осмотр, продуть от пыли</t>
        </is>
      </c>
      <c r="G100" t="n">
        <v>93</v>
      </c>
      <c r="H100" t="n">
        <v>3</v>
      </c>
      <c r="I100" s="25" t="n">
        <v>45946</v>
      </c>
      <c r="J100" s="22">
        <f>I100+G100</f>
        <v/>
      </c>
      <c r="K100">
        <f>IF(J100&lt;=TODAY(),"ОБСЛУЖИТЬ",IF(J100-TODAY()&lt;=H100,"Внимание","Не требуется"))</f>
        <v/>
      </c>
    </row>
    <row r="101">
      <c r="A101" t="n">
        <v>97</v>
      </c>
      <c r="B101" t="inlineStr">
        <is>
          <t>ЗИФ-1</t>
        </is>
      </c>
      <c r="C101" t="inlineStr">
        <is>
          <t>Шкаф ввода-вывода</t>
        </is>
      </c>
      <c r="D101" t="inlineStr">
        <is>
          <t>991CS100A05</t>
        </is>
      </c>
      <c r="E101" t="inlineStr">
        <is>
          <t>ПЛК АСУТП флотация</t>
        </is>
      </c>
      <c r="F101" t="inlineStr">
        <is>
          <t>Визуальный осмотр, продуть от пыли</t>
        </is>
      </c>
      <c r="G101" t="n">
        <v>93</v>
      </c>
      <c r="H101" t="n">
        <v>3</v>
      </c>
      <c r="I101" s="25" t="n">
        <v>45946</v>
      </c>
      <c r="J101" s="22">
        <f>I101+G101</f>
        <v/>
      </c>
      <c r="K101">
        <f>IF(J101&lt;=TODAY(),"ОБСЛУЖИТЬ",IF(J101-TODAY()&lt;=H101,"Внимание","Не требуется"))</f>
        <v/>
      </c>
    </row>
    <row r="102">
      <c r="A102" t="n">
        <v>98</v>
      </c>
      <c r="B102" t="inlineStr">
        <is>
          <t>ЗИФ-1</t>
        </is>
      </c>
      <c r="C102" t="inlineStr">
        <is>
          <t>Шкаф ПЛК</t>
        </is>
      </c>
      <c r="D102" t="inlineStr">
        <is>
          <t>992CS100A01</t>
        </is>
      </c>
      <c r="E102" t="inlineStr">
        <is>
          <t>ПЛК АСУТП флотация</t>
        </is>
      </c>
      <c r="F102" t="inlineStr">
        <is>
          <t>Визуальный осмотр, продуть от пыли</t>
        </is>
      </c>
      <c r="G102" t="n">
        <v>93</v>
      </c>
      <c r="H102" t="n">
        <v>3</v>
      </c>
      <c r="I102" s="25" t="n">
        <v>45946</v>
      </c>
      <c r="J102" s="22">
        <f>I102+G102</f>
        <v/>
      </c>
      <c r="K102">
        <f>IF(J102&lt;=TODAY(),"ОБСЛУЖИТЬ",IF(J102-TODAY()&lt;=H102,"Внимание","Не требуется"))</f>
        <v/>
      </c>
    </row>
    <row r="103">
      <c r="A103" t="n">
        <v>99</v>
      </c>
      <c r="B103" t="inlineStr">
        <is>
          <t>ЗИФ-1</t>
        </is>
      </c>
      <c r="C103" t="inlineStr">
        <is>
          <t>Шкаф ввода-вывода</t>
        </is>
      </c>
      <c r="D103" t="inlineStr">
        <is>
          <t>992CS100A02</t>
        </is>
      </c>
      <c r="E103" t="inlineStr">
        <is>
          <t>ПЛК АСУТП флотация</t>
        </is>
      </c>
      <c r="F103" t="inlineStr">
        <is>
          <t>Визуальный осмотр, продуть от пыли</t>
        </is>
      </c>
      <c r="G103" t="n">
        <v>93</v>
      </c>
      <c r="H103" t="n">
        <v>3</v>
      </c>
      <c r="I103" s="25" t="n">
        <v>45946</v>
      </c>
      <c r="J103" s="22">
        <f>I103+G103</f>
        <v/>
      </c>
      <c r="K103">
        <f>IF(J103&lt;=TODAY(),"ОБСЛУЖИТЬ",IF(J103-TODAY()&lt;=H103,"Внимание","Не требуется"))</f>
        <v/>
      </c>
    </row>
    <row r="104">
      <c r="A104" t="n">
        <v>100</v>
      </c>
      <c r="B104" t="inlineStr">
        <is>
          <t>ЗИФ-1</t>
        </is>
      </c>
      <c r="C104" t="inlineStr">
        <is>
          <t>Шкаф ввода-вывода</t>
        </is>
      </c>
      <c r="D104" t="inlineStr">
        <is>
          <t>992CS100A03</t>
        </is>
      </c>
      <c r="E104" t="inlineStr">
        <is>
          <t>ПЛК АСУТП флотация</t>
        </is>
      </c>
      <c r="F104" t="inlineStr">
        <is>
          <t>Визуальный осмотр, продуть от пыли</t>
        </is>
      </c>
      <c r="G104" t="n">
        <v>93</v>
      </c>
      <c r="H104" t="n">
        <v>3</v>
      </c>
      <c r="I104" s="25" t="n">
        <v>45946</v>
      </c>
      <c r="J104" s="22">
        <f>I104+G104</f>
        <v/>
      </c>
      <c r="K104">
        <f>IF(J104&lt;=TODAY(),"ОБСЛУЖИТЬ",IF(J104-TODAY()&lt;=H104,"Внимание","Не требуется"))</f>
        <v/>
      </c>
    </row>
    <row r="105">
      <c r="A105" t="n">
        <v>101</v>
      </c>
      <c r="B105" t="inlineStr">
        <is>
          <t>ЗИФ-1</t>
        </is>
      </c>
      <c r="C105" t="inlineStr">
        <is>
          <t>Шкаф ввода-вывода</t>
        </is>
      </c>
      <c r="D105" t="inlineStr">
        <is>
          <t>992CS100A04</t>
        </is>
      </c>
      <c r="E105" t="inlineStr">
        <is>
          <t>ПЛК АСУТП флотация</t>
        </is>
      </c>
      <c r="F105" t="inlineStr">
        <is>
          <t>Визуальный осмотр, продуть от пыли</t>
        </is>
      </c>
      <c r="G105" t="n">
        <v>93</v>
      </c>
      <c r="H105" t="n">
        <v>3</v>
      </c>
      <c r="I105" s="25" t="n">
        <v>45946</v>
      </c>
      <c r="J105" s="22">
        <f>I105+G105</f>
        <v/>
      </c>
      <c r="K105">
        <f>IF(J105&lt;=TODAY(),"ОБСЛУЖИТЬ",IF(J105-TODAY()&lt;=H105,"Внимание","Не требуется"))</f>
        <v/>
      </c>
    </row>
    <row r="106">
      <c r="A106" t="n">
        <v>102</v>
      </c>
      <c r="B106" t="inlineStr">
        <is>
          <t>ЗИФ-1</t>
        </is>
      </c>
      <c r="C106" t="inlineStr">
        <is>
          <t>Шкаф коммуникационный</t>
        </is>
      </c>
      <c r="D106" t="inlineStr">
        <is>
          <t>ODF-11</t>
        </is>
      </c>
      <c r="E106" t="inlineStr">
        <is>
          <t>ПСУ-2</t>
        </is>
      </c>
      <c r="F106" t="inlineStr">
        <is>
          <t>Визуальный осмотр, продуть от пыли</t>
        </is>
      </c>
      <c r="G106" t="n">
        <v>90</v>
      </c>
      <c r="H106" t="n">
        <v>3</v>
      </c>
      <c r="I106" s="22" t="n">
        <v>45964</v>
      </c>
      <c r="J106" s="22">
        <f>I106+G106</f>
        <v/>
      </c>
      <c r="K106">
        <f>IF(J106&lt;=TODAY(),"ОБСЛУЖИТЬ",IF(J106-TODAY()&lt;=H106,"Внимание","Не требуется"))</f>
        <v/>
      </c>
    </row>
    <row r="107">
      <c r="A107" t="n">
        <v>103</v>
      </c>
      <c r="B107" t="inlineStr">
        <is>
          <t>ЗИФ-1</t>
        </is>
      </c>
      <c r="C107" t="inlineStr">
        <is>
          <t>Шкаф коммуникационный</t>
        </is>
      </c>
      <c r="D107" t="inlineStr">
        <is>
          <t>ODF-2</t>
        </is>
      </c>
      <c r="E107" t="inlineStr">
        <is>
          <t>ПСУ-9</t>
        </is>
      </c>
      <c r="F107" t="inlineStr">
        <is>
          <t>Визуальный осмотр, продуть от пыли</t>
        </is>
      </c>
      <c r="G107" t="n">
        <v>90</v>
      </c>
      <c r="H107" t="n">
        <v>3</v>
      </c>
      <c r="I107" s="25" t="n">
        <v>45964</v>
      </c>
      <c r="J107" s="22">
        <f>I107+G107</f>
        <v/>
      </c>
      <c r="K107">
        <f>IF(J107&lt;=TODAY(),"ОБСЛУЖИТЬ",IF(J107-TODAY()&lt;=H107,"Внимание","Не требуется"))</f>
        <v/>
      </c>
    </row>
    <row r="108">
      <c r="A108" t="n">
        <v>104</v>
      </c>
      <c r="B108" t="inlineStr">
        <is>
          <t>ЗИФ-1</t>
        </is>
      </c>
      <c r="C108" t="inlineStr">
        <is>
          <t>Шкаф ПЛК СБО-26</t>
        </is>
      </c>
      <c r="D108" t="inlineStr">
        <is>
          <t>ПЛК СБО-26</t>
        </is>
      </c>
      <c r="E108" t="inlineStr">
        <is>
          <t>СБО-26 (Очистные)</t>
        </is>
      </c>
      <c r="F108" t="inlineStr">
        <is>
          <t>Визуальный осмотр, продуть от пыли</t>
        </is>
      </c>
      <c r="G108" t="n">
        <v>90</v>
      </c>
      <c r="H108" t="n">
        <v>3</v>
      </c>
      <c r="I108" s="22" t="n">
        <v>45966</v>
      </c>
      <c r="J108" s="22">
        <f>I108+G108</f>
        <v/>
      </c>
      <c r="K108">
        <f>IF(J108&lt;=TODAY(),"ОБСЛУЖИТЬ",IF(J108-TODAY()&lt;=H108,"Внимание","Не требуется"))</f>
        <v/>
      </c>
    </row>
    <row r="109">
      <c r="A109" t="n">
        <v>105</v>
      </c>
      <c r="B109" t="inlineStr">
        <is>
          <t>ЗИФ-1</t>
        </is>
      </c>
      <c r="C109" t="inlineStr">
        <is>
          <t>Шкаф HMI</t>
        </is>
      </c>
      <c r="D109" t="inlineStr">
        <is>
          <t>HMI Sorbtion</t>
        </is>
      </c>
      <c r="E109" t="inlineStr">
        <is>
          <t>Сорбция</t>
        </is>
      </c>
      <c r="F109" t="inlineStr">
        <is>
          <t>Визуальный осмотр, продуть от пыли, протереть</t>
        </is>
      </c>
      <c r="G109" t="n">
        <v>90</v>
      </c>
      <c r="H109" t="n">
        <v>3</v>
      </c>
      <c r="I109" s="22" t="n">
        <v>45977</v>
      </c>
      <c r="J109" s="22">
        <f>I109+G109</f>
        <v/>
      </c>
      <c r="K109">
        <f>IF(J109&lt;=TODAY(),"ОБСЛУЖИТЬ",IF(J109-TODAY()&lt;=H109,"Внимание","Не требуется"))</f>
        <v/>
      </c>
    </row>
    <row r="110">
      <c r="A110" t="n">
        <v>106</v>
      </c>
      <c r="B110" t="inlineStr">
        <is>
          <t>ЗИФ-1</t>
        </is>
      </c>
      <c r="C110" t="inlineStr">
        <is>
          <t>Шкаф HMI</t>
        </is>
      </c>
      <c r="D110" t="inlineStr">
        <is>
          <t>HMI Flotation1</t>
        </is>
      </c>
      <c r="E110" t="inlineStr">
        <is>
          <t>Флотация</t>
        </is>
      </c>
      <c r="F110" t="inlineStr">
        <is>
          <t>Визуальный осмотр, продуть от пыли, протереть</t>
        </is>
      </c>
      <c r="G110" t="n">
        <v>90</v>
      </c>
      <c r="H110" t="n">
        <v>3</v>
      </c>
      <c r="I110" s="22" t="n">
        <v>45977</v>
      </c>
      <c r="J110" s="22">
        <f>I110+G110</f>
        <v/>
      </c>
      <c r="K110">
        <f>IF(J110&lt;=TODAY(),"ОБСЛУЖИТЬ",IF(J110-TODAY()&lt;=H110,"Внимание","Не требуется"))</f>
        <v/>
      </c>
    </row>
    <row r="111">
      <c r="A111" t="n">
        <v>107</v>
      </c>
      <c r="B111" t="inlineStr">
        <is>
          <t>ЗИФ-1</t>
        </is>
      </c>
      <c r="C111" t="inlineStr">
        <is>
          <t>Шкаф HMI</t>
        </is>
      </c>
      <c r="D111" t="inlineStr">
        <is>
          <t>HMI Flotation2</t>
        </is>
      </c>
      <c r="E111" t="inlineStr">
        <is>
          <t>Флотация</t>
        </is>
      </c>
      <c r="F111" t="inlineStr">
        <is>
          <t>Визуальный осмотр, продуть от пыли, протереть</t>
        </is>
      </c>
      <c r="G111" t="n">
        <v>90</v>
      </c>
      <c r="H111" t="n">
        <v>3</v>
      </c>
      <c r="I111" s="22" t="n">
        <v>45977</v>
      </c>
      <c r="J111" s="22">
        <f>I111+G111</f>
        <v/>
      </c>
      <c r="K111">
        <f>IF(J111&lt;=TODAY(),"ОБСЛУЖИТЬ",IF(J111-TODAY()&lt;=H111,"Внимание","Не требуется"))</f>
        <v/>
      </c>
    </row>
    <row r="112">
      <c r="A112" t="n">
        <v>108</v>
      </c>
      <c r="B112" t="inlineStr">
        <is>
          <t>ЗИФ-1</t>
        </is>
      </c>
      <c r="C112" t="inlineStr">
        <is>
          <t>Шкаф ПЛК Парогенератора</t>
        </is>
      </c>
      <c r="D112" t="inlineStr">
        <is>
          <t>UPE1200 HT524</t>
        </is>
      </c>
      <c r="E112" t="inlineStr">
        <is>
          <t>Парогенераторы. Cорбция</t>
        </is>
      </c>
      <c r="F112" t="inlineStr">
        <is>
          <t>Визуальный осмотр, продуть от пыли</t>
        </is>
      </c>
      <c r="G112" t="n">
        <v>180</v>
      </c>
      <c r="H112" t="n">
        <v>3</v>
      </c>
      <c r="I112" s="22" t="n">
        <v>45897</v>
      </c>
      <c r="J112" s="22">
        <f>I112+G112</f>
        <v/>
      </c>
      <c r="K112">
        <f>IF(J112&lt;=TODAY(),"ОБСЛУЖИТЬ",IF(J112-TODAY()&lt;=H112,"Внимание","Не требуется"))</f>
        <v/>
      </c>
    </row>
    <row r="113">
      <c r="A113" t="n">
        <v>109</v>
      </c>
      <c r="B113" t="inlineStr">
        <is>
          <t>ЗИФ-1</t>
        </is>
      </c>
      <c r="C113" t="inlineStr">
        <is>
          <t>Шкаф ПЛК Парогенератора</t>
        </is>
      </c>
      <c r="D113" t="inlineStr">
        <is>
          <t>UPE1200 HT526</t>
        </is>
      </c>
      <c r="E113" t="inlineStr">
        <is>
          <t>Парогенераторы. Cорбция</t>
        </is>
      </c>
      <c r="F113" t="inlineStr">
        <is>
          <t>Визуальный осмотр, продуть от пыли</t>
        </is>
      </c>
      <c r="G113" t="n">
        <v>180</v>
      </c>
      <c r="H113" t="n">
        <v>3</v>
      </c>
      <c r="I113" s="22" t="n">
        <v>45897</v>
      </c>
      <c r="J113" s="22">
        <f>I113+G113</f>
        <v/>
      </c>
      <c r="K113">
        <f>IF(J113&lt;=TODAY(),"ОБСЛУЖИТЬ",IF(J113-TODAY()&lt;=H113,"Внимание","Не требуется"))</f>
        <v/>
      </c>
    </row>
    <row r="114">
      <c r="A114" t="n">
        <v>110</v>
      </c>
      <c r="B114" t="inlineStr">
        <is>
          <t>ЗИФ-1</t>
        </is>
      </c>
      <c r="C114" t="inlineStr">
        <is>
          <t>Шкаф ПЛК ПлНС-1</t>
        </is>
      </c>
      <c r="D114" t="inlineStr">
        <is>
          <t>ШУН3-ПлНС1</t>
        </is>
      </c>
      <c r="E114" t="inlineStr">
        <is>
          <t>Хвостохранилище</t>
        </is>
      </c>
      <c r="F114" t="inlineStr">
        <is>
          <t>Визуальный осмотр, продуть от пыли, проверить состояние ИБП</t>
        </is>
      </c>
      <c r="G114" t="n">
        <v>180</v>
      </c>
      <c r="H114" t="n">
        <v>3</v>
      </c>
      <c r="I114" s="22" t="n">
        <v>45919</v>
      </c>
      <c r="J114" s="22">
        <f>I114+G114</f>
        <v/>
      </c>
      <c r="K114">
        <f>IF(J114&lt;=TODAY(),"ОБСЛУЖИТЬ",IF(J114-TODAY()&lt;=H114,"Внимание","Не требуется"))</f>
        <v/>
      </c>
    </row>
    <row r="115">
      <c r="A115" t="n">
        <v>111</v>
      </c>
      <c r="B115" t="inlineStr">
        <is>
          <t>ЗИФ-1</t>
        </is>
      </c>
      <c r="C115" t="inlineStr">
        <is>
          <t>Шкаф ПЛК ПлНС-2</t>
        </is>
      </c>
      <c r="D115" t="inlineStr">
        <is>
          <t>ШУН3-ПлНС2</t>
        </is>
      </c>
      <c r="E115" t="inlineStr">
        <is>
          <t>Хвостохранилище</t>
        </is>
      </c>
      <c r="F115" t="inlineStr">
        <is>
          <t>Визуальный осмотр, продуть от пыли, проверить состояние ИБП</t>
        </is>
      </c>
      <c r="G115" t="n">
        <v>180</v>
      </c>
      <c r="H115" t="n">
        <v>3</v>
      </c>
      <c r="I115" s="22" t="n">
        <v>45919</v>
      </c>
      <c r="J115" s="22">
        <f>I115+G115</f>
        <v/>
      </c>
      <c r="K115">
        <f>IF(J115&lt;=TODAY(),"ОБСЛУЖИТЬ",IF(J115-TODAY()&lt;=H115,"Внимание","Не требуется"))</f>
        <v/>
      </c>
    </row>
    <row r="116">
      <c r="A116" t="n">
        <v>112</v>
      </c>
      <c r="B116" t="inlineStr">
        <is>
          <t>ЗИФ-1</t>
        </is>
      </c>
      <c r="C116" t="inlineStr">
        <is>
          <t>Шкаф коммуникационный</t>
        </is>
      </c>
      <c r="D116" t="inlineStr">
        <is>
          <t>ODF-10</t>
        </is>
      </c>
      <c r="E116" t="inlineStr">
        <is>
          <t>Серверная АСУТП флотация</t>
        </is>
      </c>
      <c r="F116" t="inlineStr">
        <is>
          <t>Визуальный осмотр, продуть от пыли</t>
        </is>
      </c>
      <c r="G116" t="n">
        <v>60</v>
      </c>
      <c r="H116" t="n">
        <v>3</v>
      </c>
      <c r="I116" s="25" t="n">
        <v>45981</v>
      </c>
      <c r="J116" s="22">
        <f>I116+G116</f>
        <v/>
      </c>
      <c r="K116">
        <f>IF(J116&lt;=TODAY(),"ОБСЛУЖИТЬ",IF(J116-TODAY()&lt;=H116,"Внимание","Не требуется"))</f>
        <v/>
      </c>
    </row>
    <row r="117">
      <c r="A117" t="n">
        <v>113</v>
      </c>
      <c r="B117" t="inlineStr">
        <is>
          <t>ЗИФ-1</t>
        </is>
      </c>
      <c r="C117" t="inlineStr">
        <is>
          <t>Шкаф коммуникационный</t>
        </is>
      </c>
      <c r="D117" t="inlineStr">
        <is>
          <t>ODF-5</t>
        </is>
      </c>
      <c r="E117" t="inlineStr">
        <is>
          <t>Отделение цианида</t>
        </is>
      </c>
      <c r="F117" t="inlineStr">
        <is>
          <t>Визуальный осмотр, продуть от пыли</t>
        </is>
      </c>
      <c r="G117" t="n">
        <v>60</v>
      </c>
      <c r="H117" t="n">
        <v>3</v>
      </c>
      <c r="I117" s="25" t="n">
        <v>45983</v>
      </c>
      <c r="J117" s="22">
        <f>I117+G117</f>
        <v/>
      </c>
      <c r="K117">
        <f>IF(J117&lt;=TODAY(),"ОБСЛУЖИТЬ",IF(J117-TODAY()&lt;=H117,"Внимание","Не требуется"))</f>
        <v/>
      </c>
    </row>
    <row r="118">
      <c r="A118" t="n">
        <v>114</v>
      </c>
      <c r="B118" t="inlineStr">
        <is>
          <t>ЗИФ-1</t>
        </is>
      </c>
      <c r="C118" t="inlineStr">
        <is>
          <t>Шкаф ввода-вывода Грабли 340</t>
        </is>
      </c>
      <c r="D118" t="inlineStr">
        <is>
          <t>060TN340 LCP01A01</t>
        </is>
      </c>
      <c r="E118" t="inlineStr">
        <is>
          <t>Сгуститель 340</t>
        </is>
      </c>
      <c r="F118" t="inlineStr">
        <is>
          <t>Визуальный осмотр, продуть от пыли, проверить состояние ИБП</t>
        </is>
      </c>
      <c r="G118" t="n">
        <v>60</v>
      </c>
      <c r="H118" t="n">
        <v>3</v>
      </c>
      <c r="I118" s="25" t="n">
        <v>45983</v>
      </c>
      <c r="J118" s="22">
        <f>I118+G118</f>
        <v/>
      </c>
      <c r="K118">
        <f>IF(J118&lt;=TODAY(),"ОБСЛУЖИТЬ",IF(J118-TODAY()&lt;=H118,"Внимание","Не требуется"))</f>
        <v/>
      </c>
    </row>
    <row r="119">
      <c r="A119" t="n">
        <v>115</v>
      </c>
      <c r="B119" t="inlineStr">
        <is>
          <t>ЗИФ-2</t>
        </is>
      </c>
      <c r="C119" t="inlineStr">
        <is>
          <t>Шкаф ПЛК ВГЖУ</t>
        </is>
      </c>
      <c r="D119" t="inlineStr">
        <is>
          <t>ША ВГЖУ В8</t>
        </is>
      </c>
      <c r="E119" t="inlineStr">
        <is>
          <t>Венткамера ЗИФ-2</t>
        </is>
      </c>
      <c r="F119" t="inlineStr">
        <is>
          <t>Визуальный осмотр, продуть от пыли</t>
        </is>
      </c>
      <c r="G119" t="n">
        <v>61</v>
      </c>
      <c r="H119" t="n">
        <v>3</v>
      </c>
      <c r="I119" s="25" t="n">
        <v>45981</v>
      </c>
      <c r="J119" s="22">
        <f>I119+G119</f>
        <v/>
      </c>
      <c r="K119">
        <f>IF(J119&lt;=TODAY(),"ОБСЛУЖИТЬ",IF(J119-TODAY()&lt;=H119,"Внимание","Не требуется"))</f>
        <v/>
      </c>
    </row>
    <row r="120">
      <c r="A120" t="n">
        <v>116</v>
      </c>
      <c r="B120" t="inlineStr">
        <is>
          <t>ЗИФ-2</t>
        </is>
      </c>
      <c r="C120" t="inlineStr">
        <is>
          <t>Шкаф ПЛК ВГЖУ</t>
        </is>
      </c>
      <c r="D120" t="inlineStr">
        <is>
          <t>ША ВГЖУ В9</t>
        </is>
      </c>
      <c r="E120" t="inlineStr">
        <is>
          <t>Венткамера ЗИФ-2</t>
        </is>
      </c>
      <c r="F120" t="inlineStr">
        <is>
          <t>Визуальный осмотр, продуть от пыли</t>
        </is>
      </c>
      <c r="G120" t="n">
        <v>61</v>
      </c>
      <c r="H120" t="n">
        <v>3</v>
      </c>
      <c r="I120" s="25" t="n">
        <v>45981</v>
      </c>
      <c r="J120" s="22">
        <f>I120+G120</f>
        <v/>
      </c>
      <c r="K120">
        <f>IF(J120&lt;=TODAY(),"ОБСЛУЖИТЬ",IF(J120-TODAY()&lt;=H120,"Внимание","Не требуется"))</f>
        <v/>
      </c>
    </row>
    <row r="121">
      <c r="A121" t="n">
        <v>117</v>
      </c>
      <c r="B121" t="inlineStr">
        <is>
          <t>ЗИФ-2</t>
        </is>
      </c>
      <c r="C121" t="inlineStr">
        <is>
          <t>Шкаф ПЛК ВГЖУ</t>
        </is>
      </c>
      <c r="D121" t="inlineStr">
        <is>
          <t>ША ВГЖУ В31</t>
        </is>
      </c>
      <c r="E121" t="inlineStr">
        <is>
          <t>Венткамера ЗИФ-2</t>
        </is>
      </c>
      <c r="F121" t="inlineStr">
        <is>
          <t>Визуальный осмотр, продуть от пыли</t>
        </is>
      </c>
      <c r="G121" t="n">
        <v>61</v>
      </c>
      <c r="H121" t="n">
        <v>3</v>
      </c>
      <c r="I121" s="25" t="n">
        <v>45981</v>
      </c>
      <c r="J121" s="22">
        <f>I121+G121</f>
        <v/>
      </c>
      <c r="K121">
        <f>IF(J121&lt;=TODAY(),"ОБСЛУЖИТЬ",IF(J121-TODAY()&lt;=H121,"Внимание","Не требуется"))</f>
        <v/>
      </c>
    </row>
    <row r="122">
      <c r="A122" t="n">
        <v>118</v>
      </c>
      <c r="B122" t="inlineStr">
        <is>
          <t>ЗИФ-2</t>
        </is>
      </c>
      <c r="C122" t="inlineStr">
        <is>
          <t>Шкаф ПЛК ВГЖУ</t>
        </is>
      </c>
      <c r="D122" t="inlineStr">
        <is>
          <t>ША ВГЖУ В44</t>
        </is>
      </c>
      <c r="E122" t="inlineStr">
        <is>
          <t>Венткамера ЗИФ-2</t>
        </is>
      </c>
      <c r="F122" t="inlineStr">
        <is>
          <t>Визуальный осмотр, продуть от пыли</t>
        </is>
      </c>
      <c r="G122" t="n">
        <v>61</v>
      </c>
      <c r="H122" t="n">
        <v>3</v>
      </c>
      <c r="I122" s="25" t="n">
        <v>45981</v>
      </c>
      <c r="J122" s="22">
        <f>I122+G122</f>
        <v/>
      </c>
      <c r="K122">
        <f>IF(J122&lt;=TODAY(),"ОБСЛУЖИТЬ",IF(J122-TODAY()&lt;=H122,"Внимание","Не требуется"))</f>
        <v/>
      </c>
    </row>
    <row r="123">
      <c r="A123" t="n">
        <v>119</v>
      </c>
      <c r="B123" t="inlineStr">
        <is>
          <t>ЗИФ-2</t>
        </is>
      </c>
      <c r="C123" t="inlineStr">
        <is>
          <t>Шкаф ПЛК Грабли 450</t>
        </is>
      </c>
      <c r="D123" t="inlineStr">
        <is>
          <t>2-080-TN450 LCP01A01</t>
        </is>
      </c>
      <c r="E123" t="inlineStr">
        <is>
          <t>Сорбция</t>
        </is>
      </c>
      <c r="F123" t="inlineStr">
        <is>
          <t>Визуальный осмотр, продуть от пыли</t>
        </is>
      </c>
      <c r="G123" t="n">
        <v>31</v>
      </c>
      <c r="H123" t="n">
        <v>3</v>
      </c>
      <c r="I123" s="25" t="n">
        <v>46025</v>
      </c>
      <c r="J123" s="22">
        <f>I123+G123</f>
        <v/>
      </c>
      <c r="K123">
        <f>IF(J123&lt;=TODAY(),"ОБСЛУЖИТЬ",IF(J123-TODAY()&lt;=H123,"Внимание","Не требуется"))</f>
        <v/>
      </c>
    </row>
    <row r="124">
      <c r="A124" t="n">
        <v>120</v>
      </c>
      <c r="B124" t="inlineStr">
        <is>
          <t>ЗИФ-2</t>
        </is>
      </c>
      <c r="C124" t="inlineStr">
        <is>
          <t>Шкаф ПЛК</t>
        </is>
      </c>
      <c r="D124" t="inlineStr">
        <is>
          <t>993CS100A01</t>
        </is>
      </c>
      <c r="E124" t="inlineStr">
        <is>
          <t>ПЛК АСУТП измельчение</t>
        </is>
      </c>
      <c r="F124" t="inlineStr">
        <is>
          <t>Визуальный осмотр</t>
        </is>
      </c>
      <c r="G124" t="n">
        <v>7</v>
      </c>
      <c r="H124" t="n">
        <v>1</v>
      </c>
      <c r="I124" s="22" t="n">
        <v>46021</v>
      </c>
      <c r="J124" s="22">
        <f>I124+G124</f>
        <v/>
      </c>
      <c r="K124">
        <f>IF(J124&lt;=TODAY(),"ОБСЛУЖИТЬ",IF(J124-TODAY()&lt;=H124,"Внимание","Не требуется"))</f>
        <v/>
      </c>
    </row>
    <row r="125">
      <c r="A125" t="n">
        <v>121</v>
      </c>
      <c r="B125" t="inlineStr">
        <is>
          <t>ЗИФ-2</t>
        </is>
      </c>
      <c r="C125" t="inlineStr">
        <is>
          <t>Шкаф ввода-вывода</t>
        </is>
      </c>
      <c r="D125" t="inlineStr">
        <is>
          <t>993CS100A02</t>
        </is>
      </c>
      <c r="E125" t="inlineStr">
        <is>
          <t>ПЛК АСУТП измельчение</t>
        </is>
      </c>
      <c r="F125" t="inlineStr">
        <is>
          <t>Визуальный осмотр</t>
        </is>
      </c>
      <c r="G125" t="n">
        <v>7</v>
      </c>
      <c r="H125" t="n">
        <v>1</v>
      </c>
      <c r="I125" s="22" t="n">
        <v>46021</v>
      </c>
      <c r="J125" s="22">
        <f>I125+G125</f>
        <v/>
      </c>
      <c r="K125">
        <f>IF(J125&lt;=TODAY(),"ОБСЛУЖИТЬ",IF(J125-TODAY()&lt;=H125,"Внимание","Не требуется"))</f>
        <v/>
      </c>
    </row>
    <row r="126">
      <c r="A126" t="n">
        <v>122</v>
      </c>
      <c r="B126" t="inlineStr">
        <is>
          <t>ЗИФ-2</t>
        </is>
      </c>
      <c r="C126" t="inlineStr">
        <is>
          <t>Шкаф ввода-вывода</t>
        </is>
      </c>
      <c r="D126" t="inlineStr">
        <is>
          <t>993CS100A03</t>
        </is>
      </c>
      <c r="E126" t="inlineStr">
        <is>
          <t>ПЛК АСУТП измельчение</t>
        </is>
      </c>
      <c r="F126" t="inlineStr">
        <is>
          <t>Визуальный осмотр</t>
        </is>
      </c>
      <c r="G126" t="n">
        <v>7</v>
      </c>
      <c r="H126" t="n">
        <v>1</v>
      </c>
      <c r="I126" s="22" t="n">
        <v>46021</v>
      </c>
      <c r="J126" s="22">
        <f>I126+G126</f>
        <v/>
      </c>
      <c r="K126">
        <f>IF(J126&lt;=TODAY(),"ОБСЛУЖИТЬ",IF(J126-TODAY()&lt;=H126,"Внимание","Не требуется"))</f>
        <v/>
      </c>
    </row>
    <row r="127">
      <c r="A127" t="n">
        <v>123</v>
      </c>
      <c r="B127" t="inlineStr">
        <is>
          <t>ЗИФ-2</t>
        </is>
      </c>
      <c r="C127" t="inlineStr">
        <is>
          <t>Шкаф ввода-вывода</t>
        </is>
      </c>
      <c r="D127" t="inlineStr">
        <is>
          <t>993CS100A04</t>
        </is>
      </c>
      <c r="E127" t="inlineStr">
        <is>
          <t>ПЛК АСУТП измельчение</t>
        </is>
      </c>
      <c r="F127" t="inlineStr">
        <is>
          <t>Визуальный осмотр</t>
        </is>
      </c>
      <c r="G127" t="n">
        <v>7</v>
      </c>
      <c r="H127" t="n">
        <v>1</v>
      </c>
      <c r="I127" s="22" t="n">
        <v>46021</v>
      </c>
      <c r="J127" s="22">
        <f>I127+G127</f>
        <v/>
      </c>
      <c r="K127">
        <f>IF(J127&lt;=TODAY(),"ОБСЛУЖИТЬ",IF(J127-TODAY()&lt;=H127,"Внимание","Не требуется"))</f>
        <v/>
      </c>
    </row>
    <row r="128">
      <c r="A128" t="n">
        <v>124</v>
      </c>
      <c r="B128" t="inlineStr">
        <is>
          <t>ЗИФ-2</t>
        </is>
      </c>
      <c r="C128" t="inlineStr">
        <is>
          <t>Шкаф ввода-вывода</t>
        </is>
      </c>
      <c r="D128" t="inlineStr">
        <is>
          <t>993CS100A05</t>
        </is>
      </c>
      <c r="E128" t="inlineStr">
        <is>
          <t>ПЛК АСУТП измельчение</t>
        </is>
      </c>
      <c r="F128" t="inlineStr">
        <is>
          <t>Визуальный осмотр</t>
        </is>
      </c>
      <c r="G128" t="n">
        <v>7</v>
      </c>
      <c r="H128" t="n">
        <v>1</v>
      </c>
      <c r="I128" s="22" t="n">
        <v>46021</v>
      </c>
      <c r="J128" s="22">
        <f>I128+G128</f>
        <v/>
      </c>
      <c r="K128">
        <f>IF(J128&lt;=TODAY(),"ОБСЛУЖИТЬ",IF(J128-TODAY()&lt;=H128,"Внимание","Не требуется"))</f>
        <v/>
      </c>
    </row>
    <row r="129">
      <c r="A129" t="n">
        <v>125</v>
      </c>
      <c r="B129" t="inlineStr">
        <is>
          <t>ЗИФ-2</t>
        </is>
      </c>
      <c r="C129" t="inlineStr">
        <is>
          <t>Шкаф ПЛК</t>
        </is>
      </c>
      <c r="D129" t="inlineStr">
        <is>
          <t>994CS100A01</t>
        </is>
      </c>
      <c r="E129" t="inlineStr">
        <is>
          <t>ПЛК АСУТП измельчение</t>
        </is>
      </c>
      <c r="F129" t="inlineStr">
        <is>
          <t>Визуальный осмотр</t>
        </is>
      </c>
      <c r="G129" t="n">
        <v>7</v>
      </c>
      <c r="H129" t="n">
        <v>1</v>
      </c>
      <c r="I129" s="22" t="n">
        <v>46021</v>
      </c>
      <c r="J129" s="22">
        <f>I129+G129</f>
        <v/>
      </c>
      <c r="K129">
        <f>IF(J129&lt;=TODAY(),"ОБСЛУЖИТЬ",IF(J129-TODAY()&lt;=H129,"Внимание","Не требуется"))</f>
        <v/>
      </c>
    </row>
    <row r="130">
      <c r="A130" t="n">
        <v>126</v>
      </c>
      <c r="B130" t="inlineStr">
        <is>
          <t>ЗИФ-2</t>
        </is>
      </c>
      <c r="C130" t="inlineStr">
        <is>
          <t>Шкаф ввода-вывода</t>
        </is>
      </c>
      <c r="D130" t="inlineStr">
        <is>
          <t>994CS100A02</t>
        </is>
      </c>
      <c r="E130" t="inlineStr">
        <is>
          <t>ПЛК АСУТП измельчение</t>
        </is>
      </c>
      <c r="F130" t="inlineStr">
        <is>
          <t>Визуальный осмотр</t>
        </is>
      </c>
      <c r="G130" t="n">
        <v>7</v>
      </c>
      <c r="H130" t="n">
        <v>1</v>
      </c>
      <c r="I130" s="22" t="n">
        <v>46021</v>
      </c>
      <c r="J130" s="22">
        <f>I130+G130</f>
        <v/>
      </c>
      <c r="K130">
        <f>IF(J130&lt;=TODAY(),"ОБСЛУЖИТЬ",IF(J130-TODAY()&lt;=H130,"Внимание","Не требуется"))</f>
        <v/>
      </c>
    </row>
    <row r="131">
      <c r="A131" t="n">
        <v>127</v>
      </c>
      <c r="B131" t="inlineStr">
        <is>
          <t>ЗИФ-2</t>
        </is>
      </c>
      <c r="C131" t="inlineStr">
        <is>
          <t>Шкаф ввода-вывода</t>
        </is>
      </c>
      <c r="D131" t="inlineStr">
        <is>
          <t>994CS110A01</t>
        </is>
      </c>
      <c r="E131" t="inlineStr">
        <is>
          <t>ПЛК АСУТП измельчение</t>
        </is>
      </c>
      <c r="F131" t="inlineStr">
        <is>
          <t>Визуальный осмотр</t>
        </is>
      </c>
      <c r="G131" t="n">
        <v>7</v>
      </c>
      <c r="H131" t="n">
        <v>1</v>
      </c>
      <c r="I131" s="22" t="n">
        <v>46021</v>
      </c>
      <c r="J131" s="22">
        <f>I131+G131</f>
        <v/>
      </c>
      <c r="K131">
        <f>IF(J131&lt;=TODAY(),"ОБСЛУЖИТЬ",IF(J131-TODAY()&lt;=H131,"Внимание","Не требуется"))</f>
        <v/>
      </c>
    </row>
    <row r="132">
      <c r="A132" t="n">
        <v>128</v>
      </c>
      <c r="B132" t="inlineStr">
        <is>
          <t>ЗИФ-2</t>
        </is>
      </c>
      <c r="C132" t="inlineStr">
        <is>
          <t>Шкаф ПЛК</t>
        </is>
      </c>
      <c r="D132" t="inlineStr">
        <is>
          <t>995CS100A01</t>
        </is>
      </c>
      <c r="E132" t="inlineStr">
        <is>
          <t>ПЛК АСУТП измельчение</t>
        </is>
      </c>
      <c r="F132" t="inlineStr">
        <is>
          <t>Визуальный осмотр</t>
        </is>
      </c>
      <c r="G132" t="n">
        <v>7</v>
      </c>
      <c r="H132" t="n">
        <v>1</v>
      </c>
      <c r="I132" s="22" t="n">
        <v>46021</v>
      </c>
      <c r="J132" s="22">
        <f>I132+G132</f>
        <v/>
      </c>
      <c r="K132">
        <f>IF(J132&lt;=TODAY(),"ОБСЛУЖИТЬ",IF(J132-TODAY()&lt;=H132,"Внимание","Не требуется"))</f>
        <v/>
      </c>
    </row>
    <row r="133">
      <c r="A133" t="n">
        <v>129</v>
      </c>
      <c r="B133" t="inlineStr">
        <is>
          <t>ЗИФ-2</t>
        </is>
      </c>
      <c r="C133" t="inlineStr">
        <is>
          <t>Шкаф ввода-вывода</t>
        </is>
      </c>
      <c r="D133" t="inlineStr">
        <is>
          <t>995CS100A02</t>
        </is>
      </c>
      <c r="E133" t="inlineStr">
        <is>
          <t>ПЛК АСУТП измельчение</t>
        </is>
      </c>
      <c r="F133" t="inlineStr">
        <is>
          <t>Визуальный осмотр</t>
        </is>
      </c>
      <c r="G133" t="n">
        <v>7</v>
      </c>
      <c r="H133" t="n">
        <v>1</v>
      </c>
      <c r="I133" s="22" t="n">
        <v>46021</v>
      </c>
      <c r="J133" s="22">
        <f>I133+G133</f>
        <v/>
      </c>
      <c r="K133">
        <f>IF(J133&lt;=TODAY(),"ОБСЛУЖИТЬ",IF(J133-TODAY()&lt;=H133,"Внимание","Не требуется"))</f>
        <v/>
      </c>
    </row>
    <row r="134">
      <c r="A134" t="n">
        <v>130</v>
      </c>
      <c r="B134" t="inlineStr">
        <is>
          <t>ЗИФ-2</t>
        </is>
      </c>
      <c r="C134" t="inlineStr">
        <is>
          <t>Шкаф ввода-вывода</t>
        </is>
      </c>
      <c r="D134" t="inlineStr">
        <is>
          <t>995CS100A03</t>
        </is>
      </c>
      <c r="E134" t="inlineStr">
        <is>
          <t>ПЛК АСУТП измельчение</t>
        </is>
      </c>
      <c r="F134" t="inlineStr">
        <is>
          <t>Визуальный осмотр</t>
        </is>
      </c>
      <c r="G134" t="n">
        <v>7</v>
      </c>
      <c r="H134" t="n">
        <v>1</v>
      </c>
      <c r="I134" s="22" t="n">
        <v>46021</v>
      </c>
      <c r="J134" s="22">
        <f>I134+G134</f>
        <v/>
      </c>
      <c r="K134">
        <f>IF(J134&lt;=TODAY(),"ОБСЛУЖИТЬ",IF(J134-TODAY()&lt;=H134,"Внимание","Не требуется"))</f>
        <v/>
      </c>
    </row>
    <row r="135">
      <c r="A135" t="n">
        <v>131</v>
      </c>
      <c r="B135" t="inlineStr">
        <is>
          <t>ЗИФ-2</t>
        </is>
      </c>
      <c r="C135" t="inlineStr">
        <is>
          <t>Шкаф ПЛК</t>
        </is>
      </c>
      <c r="D135" t="inlineStr">
        <is>
          <t>996CS100A01</t>
        </is>
      </c>
      <c r="E135" t="inlineStr">
        <is>
          <t>ПЛК АСУТП измельчение</t>
        </is>
      </c>
      <c r="F135" t="inlineStr">
        <is>
          <t>Визуальный осмотр</t>
        </is>
      </c>
      <c r="G135" t="n">
        <v>7</v>
      </c>
      <c r="H135" t="n">
        <v>1</v>
      </c>
      <c r="I135" s="22" t="n">
        <v>46021</v>
      </c>
      <c r="J135" s="22">
        <f>I135+G135</f>
        <v/>
      </c>
      <c r="K135">
        <f>IF(J135&lt;=TODAY(),"ОБСЛУЖИТЬ",IF(J135-TODAY()&lt;=H135,"Внимание","Не требуется"))</f>
        <v/>
      </c>
    </row>
    <row r="136">
      <c r="A136" t="n">
        <v>132</v>
      </c>
      <c r="B136" t="inlineStr">
        <is>
          <t>ЗИФ-2</t>
        </is>
      </c>
      <c r="C136" t="inlineStr">
        <is>
          <t>Шкаф ввода-вывода</t>
        </is>
      </c>
      <c r="D136" t="inlineStr">
        <is>
          <t>996CS100A02</t>
        </is>
      </c>
      <c r="E136" t="inlineStr">
        <is>
          <t>ПЛК АСУТП измельчение</t>
        </is>
      </c>
      <c r="F136" t="inlineStr">
        <is>
          <t>Визуальный осмотр</t>
        </is>
      </c>
      <c r="G136" t="n">
        <v>7</v>
      </c>
      <c r="H136" t="n">
        <v>1</v>
      </c>
      <c r="I136" s="22" t="n">
        <v>46021</v>
      </c>
      <c r="J136" s="22">
        <f>I136+G136</f>
        <v/>
      </c>
      <c r="K136">
        <f>IF(J136&lt;=TODAY(),"ОБСЛУЖИТЬ",IF(J136-TODAY()&lt;=H136,"Внимание","Не требуется"))</f>
        <v/>
      </c>
    </row>
    <row r="137">
      <c r="A137" t="n">
        <v>133</v>
      </c>
      <c r="B137" t="inlineStr">
        <is>
          <t>ЗИФ-2</t>
        </is>
      </c>
      <c r="C137" t="inlineStr">
        <is>
          <t>Серверный шкаф</t>
        </is>
      </c>
      <c r="D137" t="inlineStr">
        <is>
          <t>842CSC01A01</t>
        </is>
      </c>
      <c r="E137" t="inlineStr">
        <is>
          <t>Серверная АСУТП измельчение</t>
        </is>
      </c>
      <c r="F137" t="inlineStr">
        <is>
          <t>Визуальный осмотр</t>
        </is>
      </c>
      <c r="G137" t="n">
        <v>7</v>
      </c>
      <c r="H137" t="n">
        <v>1</v>
      </c>
      <c r="I137" s="22" t="n">
        <v>46021</v>
      </c>
      <c r="J137" s="22">
        <f>I137+G137</f>
        <v/>
      </c>
      <c r="K137">
        <f>IF(J137&lt;=TODAY(),"ОБСЛУЖИТЬ",IF(J137-TODAY()&lt;=H137,"Внимание","Не требуется"))</f>
        <v/>
      </c>
    </row>
    <row r="138">
      <c r="A138" t="n">
        <v>134</v>
      </c>
      <c r="B138" t="inlineStr">
        <is>
          <t>ЗИФ-2</t>
        </is>
      </c>
      <c r="C138" t="inlineStr">
        <is>
          <t>Серверный шкаф</t>
        </is>
      </c>
      <c r="D138" t="inlineStr">
        <is>
          <t>842CSC01A02</t>
        </is>
      </c>
      <c r="E138" t="inlineStr">
        <is>
          <t>Серверная АСУТП измельчение</t>
        </is>
      </c>
      <c r="F138" t="inlineStr">
        <is>
          <t>Визуальный осмотр</t>
        </is>
      </c>
      <c r="G138" t="n">
        <v>7</v>
      </c>
      <c r="H138" t="n">
        <v>1</v>
      </c>
      <c r="I138" s="22" t="n">
        <v>46021</v>
      </c>
      <c r="J138" s="22">
        <f>I138+G138</f>
        <v/>
      </c>
      <c r="K138">
        <f>IF(J138&lt;=TODAY(),"ОБСЛУЖИТЬ",IF(J138-TODAY()&lt;=H138,"Внимание","Не требуется"))</f>
        <v/>
      </c>
    </row>
    <row r="139">
      <c r="A139" t="n">
        <v>135</v>
      </c>
      <c r="B139" t="inlineStr">
        <is>
          <t>ЗИФ-2</t>
        </is>
      </c>
      <c r="C139" t="inlineStr">
        <is>
          <t>Шкаф ввода-вывода</t>
        </is>
      </c>
      <c r="D139" s="18" t="inlineStr">
        <is>
          <t>995CS110A01 ???</t>
        </is>
      </c>
      <c r="E139" t="inlineStr">
        <is>
          <t>АДР, нагреватели FLS</t>
        </is>
      </c>
      <c r="F139" t="inlineStr">
        <is>
          <t>Визуальный осмотр, продуть от пыли</t>
        </is>
      </c>
      <c r="G139" t="n">
        <v>31</v>
      </c>
      <c r="H139" t="n">
        <v>3</v>
      </c>
      <c r="I139" s="22" t="n">
        <v>45980</v>
      </c>
      <c r="J139" s="22">
        <f>I139+G139</f>
        <v/>
      </c>
      <c r="K139">
        <f>IF(J139&lt;=TODAY(),"ОБСЛУЖИТЬ",IF(J139-TODAY()&lt;=H139,"Внимание","Не требуется"))</f>
        <v/>
      </c>
    </row>
    <row r="140">
      <c r="A140" t="n">
        <v>136</v>
      </c>
      <c r="B140" t="inlineStr">
        <is>
          <t>ЗИФ-2</t>
        </is>
      </c>
      <c r="C140" t="inlineStr">
        <is>
          <t>Шкаф ПЛК АДР Инновация</t>
        </is>
      </c>
      <c r="D140" t="inlineStr">
        <is>
          <t>ША1</t>
        </is>
      </c>
      <c r="E140" t="inlineStr">
        <is>
          <t>Категория ЗИФ-2, АДР</t>
        </is>
      </c>
      <c r="F140" t="inlineStr">
        <is>
          <t>Визуальный осмотр, продуть от пыли, заменить фильтры</t>
        </is>
      </c>
      <c r="G140" t="n">
        <v>31</v>
      </c>
      <c r="H140" t="n">
        <v>3</v>
      </c>
      <c r="I140" s="22" t="n">
        <v>46021</v>
      </c>
      <c r="J140" s="22">
        <f>I140+G140</f>
        <v/>
      </c>
      <c r="K140">
        <f>IF(J140&lt;=TODAY(),"ОБСЛУЖИТЬ",IF(J140-TODAY()&lt;=H140,"Внимание","Не требуется"))</f>
        <v/>
      </c>
    </row>
    <row r="141">
      <c r="A141" t="n">
        <v>137</v>
      </c>
      <c r="B141" t="inlineStr">
        <is>
          <t>ЗИФ-2</t>
        </is>
      </c>
      <c r="C141" t="inlineStr">
        <is>
          <t>Шкаф ПЛК АДР Инновация</t>
        </is>
      </c>
      <c r="D141" s="20" t="inlineStr">
        <is>
          <t>ША3</t>
        </is>
      </c>
      <c r="E141" t="inlineStr">
        <is>
          <t>Категория ЗИФ-2, АДР</t>
        </is>
      </c>
      <c r="F141" t="inlineStr">
        <is>
          <t>Визуальный осмотр, продуть от пыли, заменить фильтры</t>
        </is>
      </c>
      <c r="G141" t="n">
        <v>31</v>
      </c>
      <c r="H141" t="n">
        <v>3</v>
      </c>
      <c r="I141" s="22" t="n">
        <v>46021</v>
      </c>
      <c r="J141" s="22">
        <f>I141+G141</f>
        <v/>
      </c>
      <c r="K141">
        <f>IF(J141&lt;=TODAY(),"ОБСЛУЖИТЬ",IF(J141-TODAY()&lt;=H141,"Внимание","Не требуется"))</f>
        <v/>
      </c>
    </row>
    <row r="142">
      <c r="A142" t="n">
        <v>138</v>
      </c>
      <c r="B142" t="inlineStr">
        <is>
          <t>ЗИФ-2</t>
        </is>
      </c>
      <c r="C142" t="inlineStr">
        <is>
          <t>Шкаф ПЛК АДР Инновация</t>
        </is>
      </c>
      <c r="D142" s="20" t="inlineStr">
        <is>
          <t>ША1-1</t>
        </is>
      </c>
      <c r="E142" t="inlineStr">
        <is>
          <t>Категория ЗИФ-2, АДР</t>
        </is>
      </c>
      <c r="F142" t="inlineStr">
        <is>
          <t>Визуальный осмотр, продуть от пыли, заменить фильтры</t>
        </is>
      </c>
      <c r="G142" t="n">
        <v>31</v>
      </c>
      <c r="H142" t="n">
        <v>3</v>
      </c>
      <c r="I142" s="22" t="n">
        <v>46021</v>
      </c>
      <c r="J142" s="22">
        <f>I142+G142</f>
        <v/>
      </c>
      <c r="K142">
        <f>IF(J142&lt;=TODAY(),"ОБСЛУЖИТЬ",IF(J142-TODAY()&lt;=H142,"Внимание","Не требуется"))</f>
        <v/>
      </c>
    </row>
    <row r="143">
      <c r="A143" t="n">
        <v>139</v>
      </c>
      <c r="B143" t="inlineStr">
        <is>
          <t>ЗИФ-2</t>
        </is>
      </c>
      <c r="C143" t="inlineStr">
        <is>
          <t>Шкаф ПЛК АДР Инновация</t>
        </is>
      </c>
      <c r="D143" s="20" t="inlineStr">
        <is>
          <t>ША1-2</t>
        </is>
      </c>
      <c r="E143" t="inlineStr">
        <is>
          <t>Категория ЗИФ-2, АДР</t>
        </is>
      </c>
      <c r="F143" t="inlineStr">
        <is>
          <t>Визуальный осмотр, продуть от пыли, заменить фильтры</t>
        </is>
      </c>
      <c r="G143" t="n">
        <v>31</v>
      </c>
      <c r="H143" t="n">
        <v>3</v>
      </c>
      <c r="I143" s="22" t="n">
        <v>46021</v>
      </c>
      <c r="J143" s="22">
        <f>I143+G143</f>
        <v/>
      </c>
      <c r="K143">
        <f>IF(J143&lt;=TODAY(),"ОБСЛУЖИТЬ",IF(J143-TODAY()&lt;=H143,"Внимание","Не требуется"))</f>
        <v/>
      </c>
    </row>
    <row r="144">
      <c r="A144" t="n">
        <v>140</v>
      </c>
      <c r="B144" t="inlineStr">
        <is>
          <t>ЗИФ-2</t>
        </is>
      </c>
      <c r="C144" t="inlineStr">
        <is>
          <t>Шкаф ПЛК АДР Инновация</t>
        </is>
      </c>
      <c r="D144" t="inlineStr">
        <is>
          <t>ШУН-620</t>
        </is>
      </c>
      <c r="E144" t="inlineStr">
        <is>
          <t>Категория ЗИФ-2, АДР</t>
        </is>
      </c>
      <c r="F144" t="inlineStr">
        <is>
          <t>Визуальный осмотр, продуть от пыли, заменить фильтры</t>
        </is>
      </c>
      <c r="G144" t="n">
        <v>31</v>
      </c>
      <c r="H144" t="n">
        <v>3</v>
      </c>
      <c r="I144" s="22" t="n">
        <v>46021</v>
      </c>
      <c r="J144" s="22">
        <f>I144+G144</f>
        <v/>
      </c>
      <c r="K144">
        <f>IF(J144&lt;=TODAY(),"ОБСЛУЖИТЬ",IF(J144-TODAY()&lt;=H144,"Внимание","Не требуется"))</f>
        <v/>
      </c>
    </row>
    <row r="145">
      <c r="A145" t="n">
        <v>141</v>
      </c>
      <c r="B145" t="inlineStr">
        <is>
          <t>ЗИФ-2</t>
        </is>
      </c>
      <c r="C145" t="inlineStr">
        <is>
          <t>Шкаф ПЛК АДР Инновация</t>
        </is>
      </c>
      <c r="D145" t="inlineStr">
        <is>
          <t>ШУН-637</t>
        </is>
      </c>
      <c r="E145" t="inlineStr">
        <is>
          <t>Категория ЗИФ-2, АДР</t>
        </is>
      </c>
      <c r="F145" t="inlineStr">
        <is>
          <t>Визуальный осмотр, продуть от пыли, заменить фильтры</t>
        </is>
      </c>
      <c r="G145" t="n">
        <v>31</v>
      </c>
      <c r="H145" t="n">
        <v>3</v>
      </c>
      <c r="I145" s="22" t="n">
        <v>46021</v>
      </c>
      <c r="J145" s="22">
        <f>I145+G145</f>
        <v/>
      </c>
      <c r="K145">
        <f>IF(J145&lt;=TODAY(),"ОБСЛУЖИТЬ",IF(J145-TODAY()&lt;=H145,"Внимание","Не требуется"))</f>
        <v/>
      </c>
    </row>
    <row r="146">
      <c r="A146" t="n">
        <v>142</v>
      </c>
      <c r="B146" t="inlineStr">
        <is>
          <t>ЗИФ-2</t>
        </is>
      </c>
      <c r="C146" t="inlineStr">
        <is>
          <t>Шкаф ПЛК АДР Инновация</t>
        </is>
      </c>
      <c r="D146" t="inlineStr">
        <is>
          <t>ШУН-648</t>
        </is>
      </c>
      <c r="E146" t="inlineStr">
        <is>
          <t>Категория ЗИФ-2, АДР</t>
        </is>
      </c>
      <c r="F146" t="inlineStr">
        <is>
          <t>Визуальный осмотр, продуть от пыли, заменить фильтры</t>
        </is>
      </c>
      <c r="G146" t="n">
        <v>31</v>
      </c>
      <c r="H146" t="n">
        <v>3</v>
      </c>
      <c r="I146" s="22" t="n">
        <v>46021</v>
      </c>
      <c r="J146" s="22">
        <f>I146+G146</f>
        <v/>
      </c>
      <c r="K146">
        <f>IF(J146&lt;=TODAY(),"ОБСЛУЖИТЬ",IF(J146-TODAY()&lt;=H146,"Внимание","Не требуется"))</f>
        <v/>
      </c>
    </row>
    <row r="147">
      <c r="A147" t="n">
        <v>143</v>
      </c>
      <c r="B147" t="inlineStr">
        <is>
          <t>ЗИФ-2</t>
        </is>
      </c>
      <c r="C147" t="inlineStr">
        <is>
          <t>Шкаф ПЛК АДР Инновация</t>
        </is>
      </c>
      <c r="D147" t="inlineStr">
        <is>
          <t>ШУН-651</t>
        </is>
      </c>
      <c r="E147" t="inlineStr">
        <is>
          <t>Категория ЗИФ-2, АДР</t>
        </is>
      </c>
      <c r="F147" t="inlineStr">
        <is>
          <t>Визуальный осмотр, продуть от пыли, заменить фильтры</t>
        </is>
      </c>
      <c r="G147" t="n">
        <v>31</v>
      </c>
      <c r="H147" t="n">
        <v>3</v>
      </c>
      <c r="I147" s="22" t="n">
        <v>46021</v>
      </c>
      <c r="J147" s="22">
        <f>I147+G147</f>
        <v/>
      </c>
      <c r="K147">
        <f>IF(J147&lt;=TODAY(),"ОБСЛУЖИТЬ",IF(J147-TODAY()&lt;=H147,"Внимание","Не требуется"))</f>
        <v/>
      </c>
    </row>
    <row r="148">
      <c r="A148" t="n">
        <v>144</v>
      </c>
      <c r="B148" t="inlineStr">
        <is>
          <t>ЗИФ-2</t>
        </is>
      </c>
      <c r="C148" t="inlineStr">
        <is>
          <t>Шкаф ПЛК АДР Инновация</t>
        </is>
      </c>
      <c r="D148" t="inlineStr">
        <is>
          <t>ШУН-671</t>
        </is>
      </c>
      <c r="E148" t="inlineStr">
        <is>
          <t>Категория ЗИФ-2, АДР</t>
        </is>
      </c>
      <c r="F148" t="inlineStr">
        <is>
          <t>Визуальный осмотр, продуть от пыли, заменить фильтры</t>
        </is>
      </c>
      <c r="G148" t="n">
        <v>31</v>
      </c>
      <c r="H148" t="n">
        <v>3</v>
      </c>
      <c r="I148" s="22" t="n">
        <v>46021</v>
      </c>
      <c r="J148" s="22">
        <f>I148+G148</f>
        <v/>
      </c>
      <c r="K148">
        <f>IF(J148&lt;=TODAY(),"ОБСЛУЖИТЬ",IF(J148-TODAY()&lt;=H148,"Внимание","Не требуется"))</f>
        <v/>
      </c>
    </row>
    <row r="149">
      <c r="A149" t="n">
        <v>145</v>
      </c>
      <c r="B149" t="inlineStr">
        <is>
          <t>ЗИФ-2</t>
        </is>
      </c>
      <c r="C149" t="inlineStr">
        <is>
          <t>Шкаф ПЛК АДР Инновация</t>
        </is>
      </c>
      <c r="D149" t="inlineStr">
        <is>
          <t>ШУН-681</t>
        </is>
      </c>
      <c r="E149" t="inlineStr">
        <is>
          <t>Категория ЗИФ-2, АДР</t>
        </is>
      </c>
      <c r="F149" t="inlineStr">
        <is>
          <t>Визуальный осмотр, продуть от пыли, заменить фильтры</t>
        </is>
      </c>
      <c r="G149" t="n">
        <v>31</v>
      </c>
      <c r="H149" t="n">
        <v>3</v>
      </c>
      <c r="I149" s="22" t="n">
        <v>46021</v>
      </c>
      <c r="J149" s="22">
        <f>I149+G149</f>
        <v/>
      </c>
      <c r="K149">
        <f>IF(J149&lt;=TODAY(),"ОБСЛУЖИТЬ",IF(J149-TODAY()&lt;=H149,"Внимание","Не требуется"))</f>
        <v/>
      </c>
    </row>
    <row r="150">
      <c r="A150" t="n">
        <v>146</v>
      </c>
      <c r="B150" t="inlineStr">
        <is>
          <t>ЗИФ-2</t>
        </is>
      </c>
      <c r="C150" t="inlineStr">
        <is>
          <t>Шкаф ПЛК АДР Инновация</t>
        </is>
      </c>
      <c r="D150" t="inlineStr">
        <is>
          <t>ШУН-682</t>
        </is>
      </c>
      <c r="E150" t="inlineStr">
        <is>
          <t>Категория ЗИФ-2, АДР</t>
        </is>
      </c>
      <c r="F150" t="inlineStr">
        <is>
          <t>Визуальный осмотр, продуть от пыли, заменить фильтры</t>
        </is>
      </c>
      <c r="G150" t="n">
        <v>31</v>
      </c>
      <c r="H150" t="n">
        <v>3</v>
      </c>
      <c r="I150" s="22" t="n">
        <v>46021</v>
      </c>
      <c r="J150" s="22">
        <f>I150+G150</f>
        <v/>
      </c>
      <c r="K150">
        <f>IF(J150&lt;=TODAY(),"ОБСЛУЖИТЬ",IF(J150-TODAY()&lt;=H150,"Внимание","Не требуется"))</f>
        <v/>
      </c>
    </row>
    <row r="151">
      <c r="A151" t="n">
        <v>147</v>
      </c>
      <c r="B151" t="inlineStr">
        <is>
          <t>ЗИФ-2</t>
        </is>
      </c>
      <c r="C151" t="inlineStr">
        <is>
          <t>Шкаф ПЛК АДР Инновация</t>
        </is>
      </c>
      <c r="D151" t="inlineStr">
        <is>
          <t>ШУН-690</t>
        </is>
      </c>
      <c r="E151" t="inlineStr">
        <is>
          <t>Категория ЗИФ-2, АДР</t>
        </is>
      </c>
      <c r="F151" t="inlineStr">
        <is>
          <t>Визуальный осмотр, продуть от пыли, заменить фильтры</t>
        </is>
      </c>
      <c r="G151" t="n">
        <v>31</v>
      </c>
      <c r="H151" t="n">
        <v>3</v>
      </c>
      <c r="I151" s="22" t="n">
        <v>46021</v>
      </c>
      <c r="J151" s="22">
        <f>I151+G151</f>
        <v/>
      </c>
      <c r="K151">
        <f>IF(J151&lt;=TODAY(),"ОБСЛУЖИТЬ",IF(J151-TODAY()&lt;=H151,"Внимание","Не требуется"))</f>
        <v/>
      </c>
    </row>
    <row r="152">
      <c r="A152" t="n">
        <v>148</v>
      </c>
      <c r="B152" t="inlineStr">
        <is>
          <t>ЗИФ-2</t>
        </is>
      </c>
      <c r="C152" t="inlineStr">
        <is>
          <t>Шкаф ПЛК АДР Инновация</t>
        </is>
      </c>
      <c r="D152" t="inlineStr">
        <is>
          <t>ШУН-6371</t>
        </is>
      </c>
      <c r="E152" t="inlineStr">
        <is>
          <t>Категория ЗИФ-2, АДР</t>
        </is>
      </c>
      <c r="F152" t="inlineStr">
        <is>
          <t>Визуальный осмотр, продуть от пыли, заменить фильтры</t>
        </is>
      </c>
      <c r="G152" t="n">
        <v>31</v>
      </c>
      <c r="H152" t="n">
        <v>3</v>
      </c>
      <c r="I152" s="22" t="n">
        <v>46021</v>
      </c>
      <c r="J152" s="22">
        <f>I152+G152</f>
        <v/>
      </c>
      <c r="K152">
        <f>IF(J152&lt;=TODAY(),"ОБСЛУЖИТЬ",IF(J152-TODAY()&lt;=H152,"Внимание","Не требуется"))</f>
        <v/>
      </c>
    </row>
    <row r="153">
      <c r="A153" t="n">
        <v>149</v>
      </c>
      <c r="B153" t="inlineStr">
        <is>
          <t>ЗИФ-2</t>
        </is>
      </c>
      <c r="C153" t="inlineStr">
        <is>
          <t>Шкаф ПЛК АДР Инновация</t>
        </is>
      </c>
      <c r="D153" t="inlineStr">
        <is>
          <t>ШУН-6401</t>
        </is>
      </c>
      <c r="E153" t="inlineStr">
        <is>
          <t>Категория ЗИФ-2, АДР</t>
        </is>
      </c>
      <c r="F153" t="inlineStr">
        <is>
          <t>Визуальный осмотр, продуть от пыли, заменить фильтры</t>
        </is>
      </c>
      <c r="G153" t="n">
        <v>31</v>
      </c>
      <c r="H153" t="n">
        <v>3</v>
      </c>
      <c r="I153" s="22" t="n">
        <v>46021</v>
      </c>
      <c r="J153" s="22">
        <f>I153+G153</f>
        <v/>
      </c>
      <c r="K153">
        <f>IF(J153&lt;=TODAY(),"ОБСЛУЖИТЬ",IF(J153-TODAY()&lt;=H153,"Внимание","Не требуется"))</f>
        <v/>
      </c>
    </row>
    <row r="154">
      <c r="A154" t="n">
        <v>150</v>
      </c>
      <c r="B154" t="inlineStr">
        <is>
          <t>ЗИФ-2</t>
        </is>
      </c>
      <c r="C154" t="inlineStr">
        <is>
          <t>Шкаф ПЛК Аспирация ЛК-15</t>
        </is>
      </c>
      <c r="D154" t="inlineStr">
        <is>
          <t xml:space="preserve"> 0301.03ША1</t>
        </is>
      </c>
      <c r="E154" t="inlineStr">
        <is>
          <t>Аспирация. Питатель-50</t>
        </is>
      </c>
      <c r="F154" t="inlineStr">
        <is>
          <t>Визуальный осмотр, продуть от пыли</t>
        </is>
      </c>
      <c r="G154" t="n">
        <v>31</v>
      </c>
      <c r="H154" t="n">
        <v>3</v>
      </c>
      <c r="I154" s="25" t="n">
        <v>46009</v>
      </c>
      <c r="J154" s="22">
        <f>I154+G154</f>
        <v/>
      </c>
      <c r="K154">
        <f>IF(J154&lt;=TODAY(),"ОБСЛУЖИТЬ",IF(J154-TODAY()&lt;=H154,"Внимание","Не требуется"))</f>
        <v/>
      </c>
    </row>
    <row r="155">
      <c r="A155" t="n">
        <v>151</v>
      </c>
      <c r="B155" t="inlineStr">
        <is>
          <t>ЗИФ-2</t>
        </is>
      </c>
      <c r="C155" t="inlineStr">
        <is>
          <t>Шкаф ПЛК Аспирация ЛК-15</t>
        </is>
      </c>
      <c r="D155" t="inlineStr">
        <is>
          <t xml:space="preserve"> 0301.03ША2</t>
        </is>
      </c>
      <c r="E155" t="inlineStr">
        <is>
          <t>Аспирация. Питатель-51</t>
        </is>
      </c>
      <c r="F155" t="inlineStr">
        <is>
          <t>Визуальный осмотр, продуть от пыли</t>
        </is>
      </c>
      <c r="G155" t="n">
        <v>31</v>
      </c>
      <c r="H155" t="n">
        <v>3</v>
      </c>
      <c r="I155" s="25" t="n">
        <v>46009</v>
      </c>
      <c r="J155" s="22">
        <f>I155+G155</f>
        <v/>
      </c>
      <c r="K155">
        <f>IF(J155&lt;=TODAY(),"ОБСЛУЖИТЬ",IF(J155-TODAY()&lt;=H155,"Внимание","Не требуется"))</f>
        <v/>
      </c>
    </row>
    <row r="156">
      <c r="A156" t="n">
        <v>152</v>
      </c>
      <c r="B156" t="inlineStr">
        <is>
          <t>ЗИФ-2</t>
        </is>
      </c>
      <c r="C156" t="inlineStr">
        <is>
          <t>Шкаф ПЛК Аспирация ЛК-15</t>
        </is>
      </c>
      <c r="D156" t="inlineStr">
        <is>
          <t xml:space="preserve"> 0301.03ША3</t>
        </is>
      </c>
      <c r="E156" t="inlineStr">
        <is>
          <t>Аспирация. Питатель-52</t>
        </is>
      </c>
      <c r="F156" t="inlineStr">
        <is>
          <t>Визуальный осмотр, продуть от пыли</t>
        </is>
      </c>
      <c r="G156" t="n">
        <v>31</v>
      </c>
      <c r="H156" t="n">
        <v>3</v>
      </c>
      <c r="I156" s="25" t="n">
        <v>46009</v>
      </c>
      <c r="J156" s="22">
        <f>I156+G156</f>
        <v/>
      </c>
      <c r="K156">
        <f>IF(J156&lt;=TODAY(),"ОБСЛУЖИТЬ",IF(J156-TODAY()&lt;=H156,"Внимание","Не требуется"))</f>
        <v/>
      </c>
    </row>
    <row r="157">
      <c r="A157" t="n">
        <v>153</v>
      </c>
      <c r="B157" t="inlineStr">
        <is>
          <t>ЗИФ-2</t>
        </is>
      </c>
      <c r="C157" t="inlineStr">
        <is>
          <t>Шкаф ПЛК Аспирация ЛК-15</t>
        </is>
      </c>
      <c r="D157" t="inlineStr">
        <is>
          <t xml:space="preserve"> 0301.03ША4</t>
        </is>
      </c>
      <c r="E157" t="inlineStr">
        <is>
          <t>Аспирация. Питатель-53</t>
        </is>
      </c>
      <c r="F157" t="inlineStr">
        <is>
          <t>Визуальный осмотр, продуть от пыли</t>
        </is>
      </c>
      <c r="G157" t="n">
        <v>31</v>
      </c>
      <c r="H157" t="n">
        <v>3</v>
      </c>
      <c r="I157" s="25" t="n">
        <v>46009</v>
      </c>
      <c r="J157" s="22">
        <f>I157+G157</f>
        <v/>
      </c>
      <c r="K157">
        <f>IF(J157&lt;=TODAY(),"ОБСЛУЖИТЬ",IF(J157-TODAY()&lt;=H157,"Внимание","Не требуется"))</f>
        <v/>
      </c>
    </row>
    <row r="158">
      <c r="A158" t="n">
        <v>154</v>
      </c>
      <c r="B158" t="inlineStr">
        <is>
          <t>ЗИФ-2</t>
        </is>
      </c>
      <c r="C158" t="inlineStr">
        <is>
          <t xml:space="preserve">Шкаф ПЛК </t>
        </is>
      </c>
      <c r="D158" t="inlineStr">
        <is>
          <t>6223 Реагенты 975-910...940</t>
        </is>
      </c>
      <c r="E158" t="inlineStr">
        <is>
          <t>ПСУ-8</t>
        </is>
      </c>
      <c r="F158" t="inlineStr">
        <is>
          <t>Визуальный осмотр, продуть от пыли</t>
        </is>
      </c>
      <c r="G158" t="n">
        <v>31</v>
      </c>
      <c r="H158" t="n">
        <v>3</v>
      </c>
      <c r="I158" s="22" t="n">
        <v>46021</v>
      </c>
      <c r="J158" s="22">
        <f>I158+G158</f>
        <v/>
      </c>
      <c r="K158">
        <f>IF(J158&lt;=TODAY(),"ОБСЛУЖИТЬ",IF(J158-TODAY()&lt;=H158,"Внимание","Не требуется"))</f>
        <v/>
      </c>
    </row>
    <row r="159">
      <c r="A159" t="n">
        <v>155</v>
      </c>
      <c r="B159" t="inlineStr">
        <is>
          <t>ЗИФ-2</t>
        </is>
      </c>
      <c r="C159" t="inlineStr">
        <is>
          <t xml:space="preserve">Шкаф ПЛК </t>
        </is>
      </c>
      <c r="D159" t="inlineStr">
        <is>
          <t>6230 Реагенты 900-905 Ксантогенат</t>
        </is>
      </c>
      <c r="E159" t="inlineStr">
        <is>
          <t>ПСУ-8</t>
        </is>
      </c>
      <c r="F159" t="inlineStr">
        <is>
          <t>Визуальный осмотр, продуть от пыли</t>
        </is>
      </c>
      <c r="G159" t="n">
        <v>31</v>
      </c>
      <c r="H159" t="n">
        <v>3</v>
      </c>
      <c r="I159" s="22" t="n">
        <v>46021</v>
      </c>
      <c r="J159" s="22">
        <f>I159+G159</f>
        <v/>
      </c>
      <c r="K159">
        <f>IF(J159&lt;=TODAY(),"ОБСЛУЖИТЬ",IF(J159-TODAY()&lt;=H159,"Внимание","Не требуется"))</f>
        <v/>
      </c>
    </row>
    <row r="160">
      <c r="A160" t="n">
        <v>156</v>
      </c>
      <c r="B160" t="inlineStr">
        <is>
          <t>ЗИФ-2</t>
        </is>
      </c>
      <c r="C160" t="inlineStr">
        <is>
          <t xml:space="preserve">Шкаф ПЛК </t>
        </is>
      </c>
      <c r="D160" t="inlineStr">
        <is>
          <t>6233 Реагенты 930 NaCn</t>
        </is>
      </c>
      <c r="E160" t="inlineStr">
        <is>
          <t>ПСУ-8</t>
        </is>
      </c>
      <c r="F160" t="inlineStr">
        <is>
          <t>Визуальный осмотр, продуть от пыли</t>
        </is>
      </c>
      <c r="G160" t="n">
        <v>31</v>
      </c>
      <c r="H160" t="n">
        <v>3</v>
      </c>
      <c r="I160" s="22" t="n">
        <v>46021</v>
      </c>
      <c r="J160" s="22">
        <f>I160+G160</f>
        <v/>
      </c>
      <c r="K160">
        <f>IF(J160&lt;=TODAY(),"ОБСЛУЖИТЬ",IF(J160-TODAY()&lt;=H160,"Внимание","Не требуется"))</f>
        <v/>
      </c>
    </row>
    <row r="161">
      <c r="A161" t="n">
        <v>157</v>
      </c>
      <c r="B161" t="inlineStr">
        <is>
          <t>ЗИФ-2</t>
        </is>
      </c>
      <c r="C161" t="inlineStr">
        <is>
          <t>Серверный шкаф</t>
        </is>
      </c>
      <c r="D161" t="inlineStr">
        <is>
          <t>842CSC01A01</t>
        </is>
      </c>
      <c r="E161" t="inlineStr">
        <is>
          <t>Серверная АСУТП измельчение</t>
        </is>
      </c>
      <c r="F161" t="inlineStr">
        <is>
          <t>Замена фильтров</t>
        </is>
      </c>
      <c r="G161" t="n">
        <v>31</v>
      </c>
      <c r="H161" t="n">
        <v>1</v>
      </c>
      <c r="I161" s="22" t="n">
        <v>46025</v>
      </c>
      <c r="J161" s="22">
        <f>I161+G161</f>
        <v/>
      </c>
      <c r="K161">
        <f>IF(J161&lt;=TODAY(),"ОБСЛУЖИТЬ",IF(J161-TODAY()&lt;=H161,"Внимание","Не требуется"))</f>
        <v/>
      </c>
    </row>
    <row r="162">
      <c r="A162" t="n">
        <v>158</v>
      </c>
      <c r="B162" t="inlineStr">
        <is>
          <t>ЗИФ-2</t>
        </is>
      </c>
      <c r="C162" t="inlineStr">
        <is>
          <t>Серверный шкаф</t>
        </is>
      </c>
      <c r="D162" t="inlineStr">
        <is>
          <t>842CSC01A02</t>
        </is>
      </c>
      <c r="E162" t="inlineStr">
        <is>
          <t>Серверная АСУТП измельчение</t>
        </is>
      </c>
      <c r="F162" t="inlineStr">
        <is>
          <t>Замена фильтров</t>
        </is>
      </c>
      <c r="G162" t="n">
        <v>31</v>
      </c>
      <c r="H162" t="n">
        <v>1</v>
      </c>
      <c r="I162" s="22" t="n">
        <v>46025</v>
      </c>
      <c r="J162" s="22">
        <f>I162+G162</f>
        <v/>
      </c>
      <c r="K162">
        <f>IF(J162&lt;=TODAY(),"ОБСЛУЖИТЬ",IF(J162-TODAY()&lt;=H162,"Внимание","Не требуется"))</f>
        <v/>
      </c>
    </row>
    <row r="163">
      <c r="A163" t="n">
        <v>159</v>
      </c>
      <c r="B163" t="inlineStr">
        <is>
          <t>ЗИФ-2</t>
        </is>
      </c>
      <c r="C163" t="inlineStr">
        <is>
          <t>Шкаф ПЛК МПСИ</t>
        </is>
      </c>
      <c r="D163" t="inlineStr">
        <is>
          <t>SM01-PLC-01</t>
        </is>
      </c>
      <c r="E163" t="inlineStr">
        <is>
          <t>Измельчение ЗИФ</t>
        </is>
      </c>
      <c r="F163" t="inlineStr">
        <is>
          <t>Визуальный осмотр, продуть от пыли</t>
        </is>
      </c>
      <c r="G163" t="n">
        <v>31</v>
      </c>
      <c r="H163" t="n">
        <v>3</v>
      </c>
      <c r="I163" s="22" t="n">
        <v>46011</v>
      </c>
      <c r="J163" s="22">
        <f>I163+G163</f>
        <v/>
      </c>
      <c r="K163">
        <f>IF(J163&lt;=TODAY(),"ОБСЛУЖИТЬ",IF(J163-TODAY()&lt;=H163,"Внимание","Не требуется"))</f>
        <v/>
      </c>
    </row>
    <row r="164">
      <c r="A164" t="n">
        <v>160</v>
      </c>
      <c r="B164" t="inlineStr">
        <is>
          <t>ЗИФ-2</t>
        </is>
      </c>
      <c r="C164" t="inlineStr">
        <is>
          <t>Шкаф ПЛК МШЦ-1</t>
        </is>
      </c>
      <c r="D164" t="inlineStr">
        <is>
          <t>BM01-PLC-01</t>
        </is>
      </c>
      <c r="E164" t="inlineStr">
        <is>
          <t>Измельчение ЗИФ</t>
        </is>
      </c>
      <c r="F164" t="inlineStr">
        <is>
          <t>Визуальный осмотр, продуть от пыли</t>
        </is>
      </c>
      <c r="G164" t="n">
        <v>31</v>
      </c>
      <c r="H164" t="n">
        <v>3</v>
      </c>
      <c r="I164" s="22" t="n">
        <v>46011</v>
      </c>
      <c r="J164" s="22">
        <f>I164+G164</f>
        <v/>
      </c>
      <c r="K164">
        <f>IF(J164&lt;=TODAY(),"ОБСЛУЖИТЬ",IF(J164-TODAY()&lt;=H164,"Внимание","Не требуется"))</f>
        <v/>
      </c>
    </row>
    <row r="165">
      <c r="A165" t="n">
        <v>161</v>
      </c>
      <c r="B165" t="inlineStr">
        <is>
          <t>ЗИФ-2</t>
        </is>
      </c>
      <c r="C165" t="inlineStr">
        <is>
          <t>Шкаф ПЛК МШЦ-2</t>
        </is>
      </c>
      <c r="D165" t="inlineStr">
        <is>
          <t>BM02-PLC-01</t>
        </is>
      </c>
      <c r="E165" t="inlineStr">
        <is>
          <t>Измельчение ЗИФ</t>
        </is>
      </c>
      <c r="F165" t="inlineStr">
        <is>
          <t>Визуальный осмотр, продуть от пыли</t>
        </is>
      </c>
      <c r="G165" t="n">
        <v>31</v>
      </c>
      <c r="H165" t="n">
        <v>3</v>
      </c>
      <c r="I165" s="22" t="n">
        <v>46011</v>
      </c>
      <c r="J165" s="22">
        <f>I165+G165</f>
        <v/>
      </c>
      <c r="K165">
        <f>IF(J165&lt;=TODAY(),"ОБСЛУЖИТЬ",IF(J165-TODAY()&lt;=H165,"Внимание","Не требуется"))</f>
        <v/>
      </c>
    </row>
    <row r="166">
      <c r="A166" t="n">
        <v>162</v>
      </c>
      <c r="B166" t="inlineStr">
        <is>
          <t>ЗИФ-2</t>
        </is>
      </c>
      <c r="C166" t="inlineStr">
        <is>
          <t>Шкаф ПЛК Грабли 340</t>
        </is>
      </c>
      <c r="D166" t="inlineStr">
        <is>
          <t>2-060-TN340 LCP01A01</t>
        </is>
      </c>
      <c r="E166" t="inlineStr">
        <is>
          <t>Сгуститель 340</t>
        </is>
      </c>
      <c r="F166" t="inlineStr">
        <is>
          <t>Визуальный осмотр, продуть от пыли</t>
        </is>
      </c>
      <c r="G166" t="n">
        <v>31</v>
      </c>
      <c r="H166" t="n">
        <v>3</v>
      </c>
      <c r="I166" s="25" t="n">
        <v>46025</v>
      </c>
      <c r="J166" s="22">
        <f>I166+G166</f>
        <v/>
      </c>
      <c r="K166">
        <f>IF(J166&lt;=TODAY(),"ОБСЛУЖИТЬ",IF(J166-TODAY()&lt;=H166,"Внимание","Не требуется"))</f>
        <v/>
      </c>
    </row>
    <row r="167">
      <c r="A167" t="n">
        <v>163</v>
      </c>
      <c r="B167" t="inlineStr">
        <is>
          <t>ЗИФ-2</t>
        </is>
      </c>
      <c r="C167" t="inlineStr">
        <is>
          <t>Шкаф ПЛК Флоккулянта</t>
        </is>
      </c>
      <c r="D167" t="inlineStr">
        <is>
          <t>2-080-TN451</t>
        </is>
      </c>
      <c r="E167" t="inlineStr">
        <is>
          <t>Сорбция</t>
        </is>
      </c>
      <c r="F167" t="inlineStr">
        <is>
          <t>Визуальный осмотр, продуть от пыли</t>
        </is>
      </c>
      <c r="G167" t="n">
        <v>31</v>
      </c>
      <c r="H167" t="n">
        <v>3</v>
      </c>
      <c r="I167" s="22" t="n">
        <v>46001</v>
      </c>
      <c r="J167" s="22">
        <f>I167+G167</f>
        <v/>
      </c>
      <c r="K167">
        <f>IF(J167&lt;=TODAY(),"ОБСЛУЖИТЬ",IF(J167-TODAY()&lt;=H167,"Внимание","Не требуется"))</f>
        <v/>
      </c>
    </row>
    <row r="168">
      <c r="A168" t="n">
        <v>164</v>
      </c>
      <c r="B168" t="inlineStr">
        <is>
          <t>ЗИФ-2</t>
        </is>
      </c>
      <c r="C168" t="inlineStr">
        <is>
          <t>Шкаф ПЛК Флоккулянта</t>
        </is>
      </c>
      <c r="D168" t="inlineStr">
        <is>
          <t>2-060-TN341</t>
        </is>
      </c>
      <c r="E168" t="inlineStr">
        <is>
          <t>Сгуститель 340</t>
        </is>
      </c>
      <c r="F168" t="inlineStr">
        <is>
          <t>Визуальный осмотр, продуть от пыли</t>
        </is>
      </c>
      <c r="G168" t="n">
        <v>31</v>
      </c>
      <c r="H168" t="n">
        <v>3</v>
      </c>
      <c r="I168" s="25" t="n">
        <v>46025</v>
      </c>
      <c r="J168" s="22">
        <f>I168+G168</f>
        <v/>
      </c>
      <c r="K168">
        <f>IF(J168&lt;=TODAY(),"ОБСЛУЖИТЬ",IF(J168-TODAY()&lt;=H168,"Внимание","Не требуется"))</f>
        <v/>
      </c>
    </row>
    <row r="169">
      <c r="A169" t="n">
        <v>165</v>
      </c>
      <c r="B169" t="inlineStr">
        <is>
          <t>ЗИФ-2</t>
        </is>
      </c>
      <c r="C169" t="inlineStr">
        <is>
          <t>Шкаф коммуникационный</t>
        </is>
      </c>
      <c r="D169" t="inlineStr">
        <is>
          <t>Optibox SW 993CS157A01</t>
        </is>
      </c>
      <c r="E169" t="inlineStr">
        <is>
          <t>ПСУ-6</t>
        </is>
      </c>
      <c r="F169" t="inlineStr">
        <is>
          <t>Визуальный осмотр</t>
        </is>
      </c>
      <c r="G169" t="n">
        <v>31</v>
      </c>
      <c r="H169" t="n">
        <v>3</v>
      </c>
      <c r="I169" s="22" t="n">
        <v>46011</v>
      </c>
      <c r="J169" s="22">
        <f>I169+G169</f>
        <v/>
      </c>
      <c r="K169">
        <f>IF(J169&lt;=TODAY(),"ОБСЛУЖИТЬ",IF(J169-TODAY()&lt;=H169,"Внимание","Не требуется"))</f>
        <v/>
      </c>
    </row>
    <row r="170">
      <c r="A170" t="n">
        <v>166</v>
      </c>
      <c r="B170" t="inlineStr">
        <is>
          <t>ЗИФ-2</t>
        </is>
      </c>
      <c r="C170" t="inlineStr">
        <is>
          <t>Шкаф коммуникационный</t>
        </is>
      </c>
      <c r="D170" t="inlineStr">
        <is>
          <t>Optibox SW 993CS157A01</t>
        </is>
      </c>
      <c r="E170" t="inlineStr">
        <is>
          <t>Площадка концентраторов п.37</t>
        </is>
      </c>
      <c r="F170" t="inlineStr">
        <is>
          <t>Визуальный осмотр</t>
        </is>
      </c>
      <c r="G170" t="n">
        <v>31</v>
      </c>
      <c r="H170" t="n">
        <v>3</v>
      </c>
      <c r="I170" s="22" t="n">
        <v>46011</v>
      </c>
      <c r="J170" s="22">
        <f>I170+G170</f>
        <v/>
      </c>
      <c r="K170">
        <f>IF(J170&lt;=TODAY(),"ОБСЛУЖИТЬ",IF(J170-TODAY()&lt;=H170,"Внимание","Не требуется"))</f>
        <v/>
      </c>
    </row>
    <row r="171">
      <c r="A171" t="n">
        <v>167</v>
      </c>
      <c r="B171" t="inlineStr">
        <is>
          <t>ЗИФ-2</t>
        </is>
      </c>
      <c r="C171" t="inlineStr">
        <is>
          <t xml:space="preserve">Шкаф  силовой LV,  Scalance </t>
        </is>
      </c>
      <c r="D171" t="inlineStr">
        <is>
          <t>psu-1.2020-2060lv100</t>
        </is>
      </c>
      <c r="E171" t="inlineStr">
        <is>
          <t>ПСУ-1</t>
        </is>
      </c>
      <c r="F171" t="inlineStr">
        <is>
          <t>Визуальный осмотр, продуть от пыли</t>
        </is>
      </c>
      <c r="G171" t="n">
        <v>31</v>
      </c>
      <c r="H171" t="n">
        <v>3</v>
      </c>
      <c r="I171" s="22" t="n">
        <v>46011</v>
      </c>
      <c r="J171" s="22">
        <f>I171+G171</f>
        <v/>
      </c>
      <c r="K171">
        <f>IF(J171&lt;=TODAY(),"ОБСЛУЖИТЬ",IF(J171-TODAY()&lt;=H171,"Внимание","Не требуется"))</f>
        <v/>
      </c>
    </row>
    <row r="172">
      <c r="A172" t="n">
        <v>168</v>
      </c>
      <c r="B172" t="inlineStr">
        <is>
          <t>ЗИФ-2</t>
        </is>
      </c>
      <c r="C172" t="inlineStr">
        <is>
          <t xml:space="preserve">Шкаф  силовой LV,  Scalance </t>
        </is>
      </c>
      <c r="D172" t="inlineStr">
        <is>
          <t>psu-4.2050lv100</t>
        </is>
      </c>
      <c r="E172" t="inlineStr">
        <is>
          <t>ПСУ-4</t>
        </is>
      </c>
      <c r="F172" t="inlineStr">
        <is>
          <t>Визуальный осмотр, продуть от пыли</t>
        </is>
      </c>
      <c r="G172" t="n">
        <v>31</v>
      </c>
      <c r="H172" t="n">
        <v>3</v>
      </c>
      <c r="I172" s="22" t="n">
        <v>46011</v>
      </c>
      <c r="J172" s="22">
        <f>I172+G172</f>
        <v/>
      </c>
      <c r="K172">
        <f>IF(J172&lt;=TODAY(),"ОБСЛУЖИТЬ",IF(J172-TODAY()&lt;=H172,"Внимание","Не требуется"))</f>
        <v/>
      </c>
    </row>
    <row r="173">
      <c r="A173" t="n">
        <v>169</v>
      </c>
      <c r="B173" t="inlineStr">
        <is>
          <t>ЗИФ-2</t>
        </is>
      </c>
      <c r="C173" t="inlineStr">
        <is>
          <t xml:space="preserve">Шкаф  силовой LV,  Scalance </t>
        </is>
      </c>
      <c r="D173" t="inlineStr">
        <is>
          <t>psu-4.2050lv200</t>
        </is>
      </c>
      <c r="E173" t="inlineStr">
        <is>
          <t>ПСУ-4</t>
        </is>
      </c>
      <c r="F173" t="inlineStr">
        <is>
          <t>Визуальный осмотр, продуть от пыли</t>
        </is>
      </c>
      <c r="G173" t="n">
        <v>31</v>
      </c>
      <c r="H173" t="n">
        <v>3</v>
      </c>
      <c r="I173" s="22" t="n">
        <v>46011</v>
      </c>
      <c r="J173" s="22">
        <f>I173+G173</f>
        <v/>
      </c>
      <c r="K173">
        <f>IF(J173&lt;=TODAY(),"ОБСЛУЖИТЬ",IF(J173-TODAY()&lt;=H173,"Внимание","Не требуется"))</f>
        <v/>
      </c>
    </row>
    <row r="174">
      <c r="A174" t="n">
        <v>170</v>
      </c>
      <c r="B174" t="inlineStr">
        <is>
          <t>ЗИФ-2</t>
        </is>
      </c>
      <c r="C174" t="inlineStr">
        <is>
          <t xml:space="preserve">Шкаф  силовой LV,  Scalance </t>
        </is>
      </c>
      <c r="D174" t="inlineStr">
        <is>
          <t>psu-4.2050lv300</t>
        </is>
      </c>
      <c r="E174" t="inlineStr">
        <is>
          <t>ПСУ-4</t>
        </is>
      </c>
      <c r="F174" t="inlineStr">
        <is>
          <t>Визуальный осмотр, продуть от пыли</t>
        </is>
      </c>
      <c r="G174" t="n">
        <v>31</v>
      </c>
      <c r="H174" t="n">
        <v>3</v>
      </c>
      <c r="I174" s="22" t="n">
        <v>46011</v>
      </c>
      <c r="J174" s="22">
        <f>I174+G174</f>
        <v/>
      </c>
      <c r="K174">
        <f>IF(J174&lt;=TODAY(),"ОБСЛУЖИТЬ",IF(J174-TODAY()&lt;=H174,"Внимание","Не требуется"))</f>
        <v/>
      </c>
    </row>
    <row r="175">
      <c r="A175" t="n">
        <v>171</v>
      </c>
      <c r="B175" t="inlineStr">
        <is>
          <t>ЗИФ-2</t>
        </is>
      </c>
      <c r="C175" t="inlineStr">
        <is>
          <t xml:space="preserve">Шкаф  силовой LV,  Scalance </t>
        </is>
      </c>
      <c r="D175" t="inlineStr">
        <is>
          <t>psu-5.2991lv100</t>
        </is>
      </c>
      <c r="E175" t="inlineStr">
        <is>
          <t>ПСУ-5</t>
        </is>
      </c>
      <c r="F175" t="inlineStr">
        <is>
          <t>Визуальный осмотр, продуть от пыли</t>
        </is>
      </c>
      <c r="G175" t="n">
        <v>31</v>
      </c>
      <c r="H175" t="n">
        <v>3</v>
      </c>
      <c r="I175" s="22" t="n">
        <v>46011</v>
      </c>
      <c r="J175" s="22">
        <f>I175+G175</f>
        <v/>
      </c>
      <c r="K175">
        <f>IF(J175&lt;=TODAY(),"ОБСЛУЖИТЬ",IF(J175-TODAY()&lt;=H175,"Внимание","Не требуется"))</f>
        <v/>
      </c>
    </row>
    <row r="176">
      <c r="A176" t="n">
        <v>172</v>
      </c>
      <c r="B176" t="inlineStr">
        <is>
          <t>ЗИФ-2</t>
        </is>
      </c>
      <c r="C176" t="inlineStr">
        <is>
          <t xml:space="preserve">Шкаф  силовой LV,  Scalance </t>
        </is>
      </c>
      <c r="D176" t="inlineStr">
        <is>
          <t>psu-6.2030lv100</t>
        </is>
      </c>
      <c r="E176" t="inlineStr">
        <is>
          <t>ПСУ-6</t>
        </is>
      </c>
      <c r="F176" t="inlineStr">
        <is>
          <t>Визуальный осмотр, продуть от пыли</t>
        </is>
      </c>
      <c r="G176" t="n">
        <v>31</v>
      </c>
      <c r="H176" t="n">
        <v>3</v>
      </c>
      <c r="I176" s="22" t="n">
        <v>46011</v>
      </c>
      <c r="J176" s="22">
        <f>I176+G176</f>
        <v/>
      </c>
      <c r="K176">
        <f>IF(J176&lt;=TODAY(),"ОБСЛУЖИТЬ",IF(J176-TODAY()&lt;=H176,"Внимание","Не требуется"))</f>
        <v/>
      </c>
    </row>
    <row r="177">
      <c r="A177" t="n">
        <v>173</v>
      </c>
      <c r="B177" t="inlineStr">
        <is>
          <t>ЗИФ-2</t>
        </is>
      </c>
      <c r="C177" t="inlineStr">
        <is>
          <t xml:space="preserve">Шкаф  силовой LV,  Scalance </t>
        </is>
      </c>
      <c r="D177" t="inlineStr">
        <is>
          <t>psu-7.2065lv100</t>
        </is>
      </c>
      <c r="E177" t="inlineStr">
        <is>
          <t>ПСУ-7</t>
        </is>
      </c>
      <c r="F177" t="inlineStr">
        <is>
          <t>Визуальный осмотр, продуть от пыли</t>
        </is>
      </c>
      <c r="G177" t="n">
        <v>31</v>
      </c>
      <c r="H177" t="n">
        <v>3</v>
      </c>
      <c r="I177" s="22" t="n">
        <v>46011</v>
      </c>
      <c r="J177" s="22">
        <f>I177+G177</f>
        <v/>
      </c>
      <c r="K177">
        <f>IF(J177&lt;=TODAY(),"ОБСЛУЖИТЬ",IF(J177-TODAY()&lt;=H177,"Внимание","Не требуется"))</f>
        <v/>
      </c>
    </row>
    <row r="178">
      <c r="A178" t="n">
        <v>174</v>
      </c>
      <c r="B178" t="inlineStr">
        <is>
          <t>ЗИФ-2</t>
        </is>
      </c>
      <c r="C178" t="inlineStr">
        <is>
          <t xml:space="preserve">Шкаф  силовой LV,  Scalance </t>
        </is>
      </c>
      <c r="D178" t="inlineStr">
        <is>
          <t>psu-8.2350lv100</t>
        </is>
      </c>
      <c r="E178" t="inlineStr">
        <is>
          <t>ПСУ-8</t>
        </is>
      </c>
      <c r="F178" t="inlineStr">
        <is>
          <t>Визуальный осмотр, продуть от пыли</t>
        </is>
      </c>
      <c r="G178" t="n">
        <v>31</v>
      </c>
      <c r="H178" t="n">
        <v>3</v>
      </c>
      <c r="I178" s="22" t="n">
        <v>46011</v>
      </c>
      <c r="J178" s="22">
        <f>I178+G178</f>
        <v/>
      </c>
      <c r="K178">
        <f>IF(J178&lt;=TODAY(),"ОБСЛУЖИТЬ",IF(J178-TODAY()&lt;=H178,"Внимание","Не требуется"))</f>
        <v/>
      </c>
    </row>
    <row r="179">
      <c r="A179" t="n">
        <v>175</v>
      </c>
      <c r="B179" t="inlineStr">
        <is>
          <t>ЗИФ-2</t>
        </is>
      </c>
      <c r="C179" t="inlineStr">
        <is>
          <t xml:space="preserve">Шкаф  силовой LV,  Scalance </t>
        </is>
      </c>
      <c r="D179" t="inlineStr">
        <is>
          <t>psu-9.2090lv100</t>
        </is>
      </c>
      <c r="E179" t="inlineStr">
        <is>
          <t>ПСУ-9</t>
        </is>
      </c>
      <c r="F179" t="inlineStr">
        <is>
          <t>Визуальный осмотр, продуть от пыли</t>
        </is>
      </c>
      <c r="G179" t="n">
        <v>31</v>
      </c>
      <c r="H179" t="n">
        <v>3</v>
      </c>
      <c r="I179" s="22" t="n">
        <v>46011</v>
      </c>
      <c r="J179" s="22">
        <f>I179+G179</f>
        <v/>
      </c>
      <c r="K179">
        <f>IF(J179&lt;=TODAY(),"ОБСЛУЖИТЬ",IF(J179-TODAY()&lt;=H179,"Внимание","Не требуется"))</f>
        <v/>
      </c>
    </row>
    <row r="180">
      <c r="A180" t="n">
        <v>176</v>
      </c>
      <c r="B180" t="inlineStr">
        <is>
          <t>ЗИФ-2</t>
        </is>
      </c>
      <c r="C180" t="inlineStr">
        <is>
          <t>Шкаф коммуникационный</t>
        </is>
      </c>
      <c r="D180" t="inlineStr">
        <is>
          <t>Optibox SW 993CS160A01</t>
        </is>
      </c>
      <c r="E180" t="inlineStr">
        <is>
          <t>ПСУ-5</t>
        </is>
      </c>
      <c r="F180" t="inlineStr">
        <is>
          <t>Визуальный осмотр</t>
        </is>
      </c>
      <c r="G180" t="n">
        <v>31</v>
      </c>
      <c r="H180" t="n">
        <v>3</v>
      </c>
      <c r="I180" s="22" t="n">
        <v>46011</v>
      </c>
      <c r="J180" s="22">
        <f>I180+G180</f>
        <v/>
      </c>
      <c r="K180">
        <f>IF(J180&lt;=TODAY(),"ОБСЛУЖИТЬ",IF(J180-TODAY()&lt;=H180,"Внимание","Не требуется"))</f>
        <v/>
      </c>
    </row>
    <row r="181">
      <c r="A181" t="n">
        <v>177</v>
      </c>
      <c r="B181" t="inlineStr">
        <is>
          <t>ЗИФ-2</t>
        </is>
      </c>
      <c r="C181" t="inlineStr">
        <is>
          <t>Шкаф коммуникационный</t>
        </is>
      </c>
      <c r="D181" t="inlineStr">
        <is>
          <t>Optibox SW 993CS159A01</t>
        </is>
      </c>
      <c r="E181" t="inlineStr">
        <is>
          <t>ПСУ-7</t>
        </is>
      </c>
      <c r="F181" t="inlineStr">
        <is>
          <t>Визуальный осмотр</t>
        </is>
      </c>
      <c r="G181" t="n">
        <v>31</v>
      </c>
      <c r="H181" t="n">
        <v>3</v>
      </c>
      <c r="I181" s="22" t="n">
        <v>46011</v>
      </c>
      <c r="J181" s="22">
        <f>I181+G181</f>
        <v/>
      </c>
      <c r="K181">
        <f>IF(J181&lt;=TODAY(),"ОБСЛУЖИТЬ",IF(J181-TODAY()&lt;=H181,"Внимание","Не требуется"))</f>
        <v/>
      </c>
    </row>
    <row r="182">
      <c r="A182" t="n">
        <v>178</v>
      </c>
      <c r="B182" t="inlineStr">
        <is>
          <t>ЗИФ-2</t>
        </is>
      </c>
      <c r="C182" t="inlineStr">
        <is>
          <t>Шкаф коммуникационный</t>
        </is>
      </c>
      <c r="D182" t="inlineStr">
        <is>
          <t>Optibox SW994CS152A01</t>
        </is>
      </c>
      <c r="E182" t="inlineStr">
        <is>
          <t>ПСУ-7</t>
        </is>
      </c>
      <c r="F182" t="inlineStr">
        <is>
          <t>Визуальный осмотр</t>
        </is>
      </c>
      <c r="G182" t="n">
        <v>31</v>
      </c>
      <c r="H182" t="n">
        <v>3</v>
      </c>
      <c r="I182" s="22" t="n">
        <v>46011</v>
      </c>
      <c r="J182" s="22">
        <f>I182+G182</f>
        <v/>
      </c>
      <c r="K182">
        <f>IF(J182&lt;=TODAY(),"ОБСЛУЖИТЬ",IF(J182-TODAY()&lt;=H182,"Внимание","Не требуется"))</f>
        <v/>
      </c>
    </row>
    <row r="183">
      <c r="A183" t="n">
        <v>179</v>
      </c>
      <c r="B183" t="inlineStr">
        <is>
          <t>ЗИФ-2</t>
        </is>
      </c>
      <c r="C183" t="inlineStr">
        <is>
          <t>Шкаф коммуникационный</t>
        </is>
      </c>
      <c r="D183" t="inlineStr">
        <is>
          <t>Optibox SW 995CS150A01</t>
        </is>
      </c>
      <c r="E183" t="inlineStr">
        <is>
          <t>ПСУ-9</t>
        </is>
      </c>
      <c r="F183" t="inlineStr">
        <is>
          <t>Визуальный осмотр</t>
        </is>
      </c>
      <c r="G183" t="n">
        <v>31</v>
      </c>
      <c r="H183" t="n">
        <v>3</v>
      </c>
      <c r="I183" s="22" t="n">
        <v>46011</v>
      </c>
      <c r="J183" s="22">
        <f>I183+G183</f>
        <v/>
      </c>
      <c r="K183">
        <f>IF(J183&lt;=TODAY(),"ОБСЛУЖИТЬ",IF(J183-TODAY()&lt;=H183,"Внимание","Не требуется"))</f>
        <v/>
      </c>
    </row>
    <row r="184">
      <c r="A184" t="n">
        <v>180</v>
      </c>
      <c r="B184" t="inlineStr">
        <is>
          <t>ЗИФ-2</t>
        </is>
      </c>
      <c r="C184" t="inlineStr">
        <is>
          <t>Шкаф коммуникационный</t>
        </is>
      </c>
      <c r="D184" t="inlineStr">
        <is>
          <t>Optibox SW 994CS155A01</t>
        </is>
      </c>
      <c r="E184" t="inlineStr">
        <is>
          <t>ПСУ-9</t>
        </is>
      </c>
      <c r="F184" t="inlineStr">
        <is>
          <t>Визуальный осмотр</t>
        </is>
      </c>
      <c r="G184" t="n">
        <v>31</v>
      </c>
      <c r="H184" t="n">
        <v>3</v>
      </c>
      <c r="I184" s="22" t="n">
        <v>46011</v>
      </c>
      <c r="J184" s="22">
        <f>I184+G184</f>
        <v/>
      </c>
      <c r="K184">
        <f>IF(J184&lt;=TODAY(),"ОБСЛУЖИТЬ",IF(J184-TODAY()&lt;=H184,"Внимание","Не требуется"))</f>
        <v/>
      </c>
    </row>
    <row r="185">
      <c r="A185" t="n">
        <v>181</v>
      </c>
      <c r="B185" t="inlineStr">
        <is>
          <t>ЗИФ-2</t>
        </is>
      </c>
      <c r="C185" t="inlineStr">
        <is>
          <t>Шкаф коммуникационный</t>
        </is>
      </c>
      <c r="D185" t="inlineStr">
        <is>
          <t>Optibox SW 994CS150A01</t>
        </is>
      </c>
      <c r="E185" t="inlineStr">
        <is>
          <t>ПСУ-8</t>
        </is>
      </c>
      <c r="F185" t="inlineStr">
        <is>
          <t>Визуальный осмотр</t>
        </is>
      </c>
      <c r="G185" t="n">
        <v>31</v>
      </c>
      <c r="H185" t="n">
        <v>3</v>
      </c>
      <c r="I185" s="22" t="n">
        <v>46011</v>
      </c>
      <c r="J185" s="22">
        <f>I185+G185</f>
        <v/>
      </c>
      <c r="K185">
        <f>IF(J185&lt;=TODAY(),"ОБСЛУЖИТЬ",IF(J185-TODAY()&lt;=H185,"Внимание","Не требуется"))</f>
        <v/>
      </c>
    </row>
    <row r="186">
      <c r="A186" t="n">
        <v>182</v>
      </c>
      <c r="B186" t="inlineStr">
        <is>
          <t>ЗИФ-2</t>
        </is>
      </c>
      <c r="C186" t="inlineStr">
        <is>
          <t>Шкаф коммуникационный</t>
        </is>
      </c>
      <c r="D186" t="inlineStr">
        <is>
          <t>Optibox SW 996CS151A01</t>
        </is>
      </c>
      <c r="E186" t="inlineStr">
        <is>
          <t>ПСУ-1</t>
        </is>
      </c>
      <c r="F186" t="inlineStr">
        <is>
          <t>Визуальный осмотр</t>
        </is>
      </c>
      <c r="G186" t="n">
        <v>31</v>
      </c>
      <c r="H186" t="n">
        <v>3</v>
      </c>
      <c r="I186" s="22" t="n">
        <v>46011</v>
      </c>
      <c r="J186" s="22">
        <f>I186+G186</f>
        <v/>
      </c>
      <c r="K186">
        <f>IF(J186&lt;=TODAY(),"ОБСЛУЖИТЬ",IF(J186-TODAY()&lt;=H186,"Внимание","Не требуется"))</f>
        <v/>
      </c>
    </row>
    <row r="187">
      <c r="A187" t="n">
        <v>183</v>
      </c>
      <c r="B187" t="inlineStr">
        <is>
          <t>ЗИФ-2</t>
        </is>
      </c>
      <c r="C187" t="inlineStr">
        <is>
          <t>Шкаф коммуникационный</t>
        </is>
      </c>
      <c r="D187" t="inlineStr">
        <is>
          <t>Optibox SW 993CS158A01</t>
        </is>
      </c>
      <c r="E187" t="inlineStr">
        <is>
          <t>ПСУ-4</t>
        </is>
      </c>
      <c r="F187" t="inlineStr">
        <is>
          <t>Визуальный осмотр</t>
        </is>
      </c>
      <c r="G187" t="n">
        <v>31</v>
      </c>
      <c r="H187" t="n">
        <v>3</v>
      </c>
      <c r="I187" s="22" t="n">
        <v>46011</v>
      </c>
      <c r="J187" s="22">
        <f>I187+G187</f>
        <v/>
      </c>
      <c r="K187">
        <f>IF(J187&lt;=TODAY(),"ОБСЛУЖИТЬ",IF(J187-TODAY()&lt;=H187,"Внимание","Не требуется"))</f>
        <v/>
      </c>
    </row>
    <row r="188">
      <c r="A188" t="n">
        <v>184</v>
      </c>
      <c r="B188" t="inlineStr">
        <is>
          <t>ЗИФ-2</t>
        </is>
      </c>
      <c r="C188" t="inlineStr">
        <is>
          <t>Шкаф коммуникационный</t>
        </is>
      </c>
      <c r="D188" t="inlineStr">
        <is>
          <t>Optibox SW 993CS156A01</t>
        </is>
      </c>
      <c r="E188" t="inlineStr">
        <is>
          <t>ПСУ-2</t>
        </is>
      </c>
      <c r="F188" t="inlineStr">
        <is>
          <t>Визуальный осмотр</t>
        </is>
      </c>
      <c r="G188" t="n">
        <v>31</v>
      </c>
      <c r="H188" t="n">
        <v>3</v>
      </c>
      <c r="I188" s="22" t="n">
        <v>46011</v>
      </c>
      <c r="J188" s="22">
        <f>I188+G188</f>
        <v/>
      </c>
      <c r="K188">
        <f>IF(J188&lt;=TODAY(),"ОБСЛУЖИТЬ",IF(J188-TODAY()&lt;=H188,"Внимание","Не требуется"))</f>
        <v/>
      </c>
    </row>
    <row r="189">
      <c r="A189" t="n">
        <v>185</v>
      </c>
      <c r="B189" t="inlineStr">
        <is>
          <t>ЗИФ-2</t>
        </is>
      </c>
      <c r="C189" t="inlineStr">
        <is>
          <t>Шкаф ПЛК Knelson</t>
        </is>
      </c>
      <c r="D189" t="inlineStr">
        <is>
          <t>MCP001</t>
        </is>
      </c>
      <c r="E189" t="inlineStr">
        <is>
          <t>Категория ЗИФ-2, Концентраторы</t>
        </is>
      </c>
      <c r="F189" t="inlineStr">
        <is>
          <t>Визуальный осмотр, продуть от пыли</t>
        </is>
      </c>
      <c r="G189" t="n">
        <v>60</v>
      </c>
      <c r="H189" t="n">
        <v>3</v>
      </c>
      <c r="I189" s="22" t="n">
        <v>46011</v>
      </c>
      <c r="J189" s="22">
        <f>I189+G189</f>
        <v/>
      </c>
      <c r="K189">
        <f>IF(J189&lt;=TODAY(),"ОБСЛУЖИТЬ",IF(J189-TODAY()&lt;=H189,"Внимание","Не требуется"))</f>
        <v/>
      </c>
    </row>
    <row r="190">
      <c r="A190" t="n">
        <v>186</v>
      </c>
      <c r="B190" t="inlineStr">
        <is>
          <t>ЗИФ-2</t>
        </is>
      </c>
      <c r="C190" t="inlineStr">
        <is>
          <t>Шкаф ввода-вывода Knelson</t>
        </is>
      </c>
      <c r="D190" t="inlineStr">
        <is>
          <t>NCP-001</t>
        </is>
      </c>
      <c r="E190" t="inlineStr">
        <is>
          <t>Категория ЗИФ-2, Концентраторы</t>
        </is>
      </c>
      <c r="F190" t="inlineStr">
        <is>
          <t>Визуальный осмотр, продуть от пыли</t>
        </is>
      </c>
      <c r="G190" t="n">
        <v>60</v>
      </c>
      <c r="H190" t="n">
        <v>3</v>
      </c>
      <c r="I190" s="22" t="n">
        <v>46011</v>
      </c>
      <c r="J190" s="22">
        <f>I190+G190</f>
        <v/>
      </c>
      <c r="K190">
        <f>IF(J190&lt;=TODAY(),"ОБСЛУЖИТЬ",IF(J190-TODAY()&lt;=H190,"Внимание","Не требуется"))</f>
        <v/>
      </c>
    </row>
    <row r="191">
      <c r="A191" t="n">
        <v>187</v>
      </c>
      <c r="B191" t="inlineStr">
        <is>
          <t>ЗИФ-2</t>
        </is>
      </c>
      <c r="C191" t="inlineStr">
        <is>
          <t>Шкаф ввода-вывода Knelson</t>
        </is>
      </c>
      <c r="D191" t="inlineStr">
        <is>
          <t>NCP-002</t>
        </is>
      </c>
      <c r="E191" t="inlineStr">
        <is>
          <t>Категория ЗИФ-2, Концентраторы</t>
        </is>
      </c>
      <c r="F191" t="inlineStr">
        <is>
          <t>Визуальный осмотр, продуть от пыли</t>
        </is>
      </c>
      <c r="G191" t="n">
        <v>60</v>
      </c>
      <c r="H191" t="n">
        <v>3</v>
      </c>
      <c r="I191" s="22" t="n">
        <v>46011</v>
      </c>
      <c r="J191" s="22">
        <f>I191+G191</f>
        <v/>
      </c>
      <c r="K191">
        <f>IF(J191&lt;=TODAY(),"ОБСЛУЖИТЬ",IF(J191-TODAY()&lt;=H191,"Внимание","Не требуется"))</f>
        <v/>
      </c>
    </row>
    <row r="192">
      <c r="A192" t="n">
        <v>188</v>
      </c>
      <c r="B192" t="inlineStr">
        <is>
          <t>ЗИФ-2</t>
        </is>
      </c>
      <c r="C192" t="inlineStr">
        <is>
          <t>Шкаф ввода-вывода Knelson</t>
        </is>
      </c>
      <c r="D192" t="inlineStr">
        <is>
          <t>NCP-003</t>
        </is>
      </c>
      <c r="E192" t="inlineStr">
        <is>
          <t>Категория ЗИФ-2, Концентраторы</t>
        </is>
      </c>
      <c r="F192" t="inlineStr">
        <is>
          <t>Визуальный осмотр, продуть от пыли</t>
        </is>
      </c>
      <c r="G192" t="n">
        <v>60</v>
      </c>
      <c r="H192" t="n">
        <v>3</v>
      </c>
      <c r="I192" s="22" t="n">
        <v>46011</v>
      </c>
      <c r="J192" s="22">
        <f>I192+G192</f>
        <v/>
      </c>
      <c r="K192">
        <f>IF(J192&lt;=TODAY(),"ОБСЛУЖИТЬ",IF(J192-TODAY()&lt;=H192,"Внимание","Не требуется"))</f>
        <v/>
      </c>
    </row>
    <row r="193">
      <c r="A193" t="n">
        <v>189</v>
      </c>
      <c r="B193" t="inlineStr">
        <is>
          <t>ЗИФ-2</t>
        </is>
      </c>
      <c r="C193" t="inlineStr">
        <is>
          <t>Шкаф ввода-вывода Knelson</t>
        </is>
      </c>
      <c r="D193" t="inlineStr">
        <is>
          <t>NCP-004</t>
        </is>
      </c>
      <c r="E193" t="inlineStr">
        <is>
          <t>Категория ЗИФ-2, Концентраторы</t>
        </is>
      </c>
      <c r="F193" t="inlineStr">
        <is>
          <t>Визуальный осмотр, продуть от пыли</t>
        </is>
      </c>
      <c r="G193" t="n">
        <v>60</v>
      </c>
      <c r="H193" t="n">
        <v>3</v>
      </c>
      <c r="I193" s="22" t="n">
        <v>46011</v>
      </c>
      <c r="J193" s="22">
        <f>I193+G193</f>
        <v/>
      </c>
      <c r="K193">
        <f>IF(J193&lt;=TODAY(),"ОБСЛУЖИТЬ",IF(J193-TODAY()&lt;=H193,"Внимание","Не требуется"))</f>
        <v/>
      </c>
    </row>
    <row r="194">
      <c r="A194" t="n">
        <v>190</v>
      </c>
      <c r="B194" t="inlineStr">
        <is>
          <t>ЗИФ-2</t>
        </is>
      </c>
      <c r="C194" t="inlineStr">
        <is>
          <t>Шкаф ввода-вывода Knelson</t>
        </is>
      </c>
      <c r="D194" t="inlineStr">
        <is>
          <t>NCP-101</t>
        </is>
      </c>
      <c r="E194" t="inlineStr">
        <is>
          <t>Категория ЗИФ-2, Концентраторы</t>
        </is>
      </c>
      <c r="F194" t="inlineStr">
        <is>
          <t>Визуальный осмотр, продуть от пыли</t>
        </is>
      </c>
      <c r="G194" t="n">
        <v>60</v>
      </c>
      <c r="H194" t="n">
        <v>3</v>
      </c>
      <c r="I194" s="22" t="n">
        <v>46011</v>
      </c>
      <c r="J194" s="22">
        <f>I194+G194</f>
        <v/>
      </c>
      <c r="K194">
        <f>IF(J194&lt;=TODAY(),"ОБСЛУЖИТЬ",IF(J194-TODAY()&lt;=H194,"Внимание","Не требуется"))</f>
        <v/>
      </c>
    </row>
    <row r="195">
      <c r="A195" t="n">
        <v>191</v>
      </c>
      <c r="B195" t="inlineStr">
        <is>
          <t>ЗИФ-2</t>
        </is>
      </c>
      <c r="C195" t="inlineStr">
        <is>
          <t>Шкаф ввода-вывода Knelson</t>
        </is>
      </c>
      <c r="D195" t="inlineStr">
        <is>
          <t>NCP-102</t>
        </is>
      </c>
      <c r="E195" t="inlineStr">
        <is>
          <t>Категория ЗИФ-2, Концентраторы</t>
        </is>
      </c>
      <c r="F195" t="inlineStr">
        <is>
          <t>Визуальный осмотр, продуть от пыли</t>
        </is>
      </c>
      <c r="G195" t="n">
        <v>60</v>
      </c>
      <c r="H195" t="n">
        <v>3</v>
      </c>
      <c r="I195" s="22" t="n">
        <v>46011</v>
      </c>
      <c r="J195" s="22">
        <f>I195+G195</f>
        <v/>
      </c>
      <c r="K195">
        <f>IF(J195&lt;=TODAY(),"ОБСЛУЖИТЬ",IF(J195-TODAY()&lt;=H195,"Внимание","Не требуется"))</f>
        <v/>
      </c>
    </row>
    <row r="196">
      <c r="A196" t="n">
        <v>192</v>
      </c>
      <c r="B196" t="inlineStr">
        <is>
          <t>ЗИФ-2</t>
        </is>
      </c>
      <c r="C196" t="inlineStr">
        <is>
          <t>Шкаф ввода-вывода Knelson</t>
        </is>
      </c>
      <c r="D196" t="inlineStr">
        <is>
          <t>NCP-103</t>
        </is>
      </c>
      <c r="E196" t="inlineStr">
        <is>
          <t>Категория ЗИФ-2, Концентраторы</t>
        </is>
      </c>
      <c r="F196" t="inlineStr">
        <is>
          <t>Визуальный осмотр, продуть от пыли</t>
        </is>
      </c>
      <c r="G196" t="n">
        <v>60</v>
      </c>
      <c r="H196" t="n">
        <v>3</v>
      </c>
      <c r="I196" s="22" t="n">
        <v>46011</v>
      </c>
      <c r="J196" s="22">
        <f>I196+G196</f>
        <v/>
      </c>
      <c r="K196">
        <f>IF(J196&lt;=TODAY(),"ОБСЛУЖИТЬ",IF(J196-TODAY()&lt;=H196,"Внимание","Не требуется"))</f>
        <v/>
      </c>
    </row>
    <row r="197">
      <c r="A197" t="n">
        <v>193</v>
      </c>
      <c r="B197" t="inlineStr">
        <is>
          <t>ЗИФ-2</t>
        </is>
      </c>
      <c r="C197" t="inlineStr">
        <is>
          <t>Шкаф ввода-вывода Knelson</t>
        </is>
      </c>
      <c r="D197" t="inlineStr">
        <is>
          <t>NCP-104</t>
        </is>
      </c>
      <c r="E197" t="inlineStr">
        <is>
          <t>Категория ЗИФ-2, Концентраторы</t>
        </is>
      </c>
      <c r="F197" t="inlineStr">
        <is>
          <t>Визуальный осмотр, продуть от пыли</t>
        </is>
      </c>
      <c r="G197" t="n">
        <v>60</v>
      </c>
      <c r="H197" t="n">
        <v>3</v>
      </c>
      <c r="I197" s="22" t="n">
        <v>46011</v>
      </c>
      <c r="J197" s="22">
        <f>I197+G197</f>
        <v/>
      </c>
      <c r="K197">
        <f>IF(J197&lt;=TODAY(),"ОБСЛУЖИТЬ",IF(J197-TODAY()&lt;=H197,"Внимание","Не требуется"))</f>
        <v/>
      </c>
    </row>
    <row r="198">
      <c r="A198" t="n">
        <v>194</v>
      </c>
      <c r="B198" t="inlineStr">
        <is>
          <t>ЗИФ-2</t>
        </is>
      </c>
      <c r="C198" t="inlineStr">
        <is>
          <t>Шкаф HMI Knelson</t>
        </is>
      </c>
      <c r="D198" t="inlineStr">
        <is>
          <t>MCP101</t>
        </is>
      </c>
      <c r="E198" t="inlineStr">
        <is>
          <t>Категория ЗИФ-2, пульподелители</t>
        </is>
      </c>
      <c r="F198" t="inlineStr">
        <is>
          <t>Визуальный осмотр, продуть от пыли</t>
        </is>
      </c>
      <c r="G198" t="n">
        <v>60</v>
      </c>
      <c r="H198" t="n">
        <v>3</v>
      </c>
      <c r="I198" s="22" t="n">
        <v>46011</v>
      </c>
      <c r="J198" s="22">
        <f>I198+G198</f>
        <v/>
      </c>
      <c r="K198">
        <f>IF(J198&lt;=TODAY(),"ОБСЛУЖИТЬ",IF(J198-TODAY()&lt;=H198,"Внимание","Не требуется"))</f>
        <v/>
      </c>
    </row>
    <row r="199">
      <c r="A199" t="n">
        <v>195</v>
      </c>
      <c r="B199" t="inlineStr">
        <is>
          <t>ЗИФ-2</t>
        </is>
      </c>
      <c r="C199" t="inlineStr">
        <is>
          <t>Шкаф ввода-вывода Knelson</t>
        </is>
      </c>
      <c r="D199" t="inlineStr">
        <is>
          <t>NCP-201</t>
        </is>
      </c>
      <c r="E199" t="inlineStr">
        <is>
          <t>Категория ЗИФ-2, Концентраторы</t>
        </is>
      </c>
      <c r="F199" t="inlineStr">
        <is>
          <t>Визуальный осмотр, продуть от пыли</t>
        </is>
      </c>
      <c r="G199" t="n">
        <v>60</v>
      </c>
      <c r="H199" t="n">
        <v>3</v>
      </c>
      <c r="I199" s="22" t="n">
        <v>46011</v>
      </c>
      <c r="J199" s="22">
        <f>I199+G199</f>
        <v/>
      </c>
      <c r="K199">
        <f>IF(J199&lt;=TODAY(),"ОБСЛУЖИТЬ",IF(J199-TODAY()&lt;=H199,"Внимание","Не требуется"))</f>
        <v/>
      </c>
    </row>
    <row r="200">
      <c r="A200" t="n">
        <v>196</v>
      </c>
      <c r="B200" t="inlineStr">
        <is>
          <t>ЗИФ-2</t>
        </is>
      </c>
      <c r="C200" t="inlineStr">
        <is>
          <t>Шкаф ввода-вывода Knelson</t>
        </is>
      </c>
      <c r="D200" t="inlineStr">
        <is>
          <t>NCP-202</t>
        </is>
      </c>
      <c r="E200" t="inlineStr">
        <is>
          <t>Категория ЗИФ-2, Концентраторы</t>
        </is>
      </c>
      <c r="F200" t="inlineStr">
        <is>
          <t>Визуальный осмотр, продуть от пыли</t>
        </is>
      </c>
      <c r="G200" t="n">
        <v>60</v>
      </c>
      <c r="H200" t="n">
        <v>3</v>
      </c>
      <c r="I200" s="22" t="n">
        <v>46011</v>
      </c>
      <c r="J200" s="22">
        <f>I200+G200</f>
        <v/>
      </c>
      <c r="K200">
        <f>IF(J200&lt;=TODAY(),"ОБСЛУЖИТЬ",IF(J200-TODAY()&lt;=H200,"Внимание","Не требуется"))</f>
        <v/>
      </c>
    </row>
    <row r="201">
      <c r="A201" t="n">
        <v>197</v>
      </c>
      <c r="B201" t="inlineStr">
        <is>
          <t>ЗИФ-2</t>
        </is>
      </c>
      <c r="C201" t="inlineStr">
        <is>
          <t>Шкаф ввода-вывода Knelson</t>
        </is>
      </c>
      <c r="D201" t="inlineStr">
        <is>
          <t>NCP-203</t>
        </is>
      </c>
      <c r="E201" t="inlineStr">
        <is>
          <t>Категория ЗИФ-2, Концентраторы</t>
        </is>
      </c>
      <c r="F201" t="inlineStr">
        <is>
          <t>Визуальный осмотр, продуть от пыли</t>
        </is>
      </c>
      <c r="G201" t="n">
        <v>60</v>
      </c>
      <c r="H201" t="n">
        <v>3</v>
      </c>
      <c r="I201" s="22" t="n">
        <v>46011</v>
      </c>
      <c r="J201" s="22">
        <f>I201+G201</f>
        <v/>
      </c>
      <c r="K201">
        <f>IF(J201&lt;=TODAY(),"ОБСЛУЖИТЬ",IF(J201-TODAY()&lt;=H201,"Внимание","Не требуется"))</f>
        <v/>
      </c>
    </row>
    <row r="202">
      <c r="A202" t="n">
        <v>198</v>
      </c>
      <c r="B202" t="inlineStr">
        <is>
          <t>ЗИФ-2</t>
        </is>
      </c>
      <c r="C202" t="inlineStr">
        <is>
          <t>Шкаф ввода-вывода Knelson</t>
        </is>
      </c>
      <c r="D202" t="inlineStr">
        <is>
          <t>NCP-204</t>
        </is>
      </c>
      <c r="E202" t="inlineStr">
        <is>
          <t>Категория ЗИФ-2, Концентраторы</t>
        </is>
      </c>
      <c r="F202" t="inlineStr">
        <is>
          <t>Визуальный осмотр, продуть от пыли</t>
        </is>
      </c>
      <c r="G202" t="n">
        <v>60</v>
      </c>
      <c r="H202" t="n">
        <v>3</v>
      </c>
      <c r="I202" s="22" t="n">
        <v>46011</v>
      </c>
      <c r="J202" s="22">
        <f>I202+G202</f>
        <v/>
      </c>
      <c r="K202">
        <f>IF(J202&lt;=TODAY(),"ОБСЛУЖИТЬ",IF(J202-TODAY()&lt;=H202,"Внимание","Не требуется"))</f>
        <v/>
      </c>
    </row>
    <row r="203">
      <c r="A203" t="n">
        <v>199</v>
      </c>
      <c r="B203" t="inlineStr">
        <is>
          <t>ЗИФ-2</t>
        </is>
      </c>
      <c r="C203" t="inlineStr">
        <is>
          <t>Шкаф ввода-вывода Knelson</t>
        </is>
      </c>
      <c r="D203" t="inlineStr">
        <is>
          <t>NCP-301</t>
        </is>
      </c>
      <c r="E203" t="inlineStr">
        <is>
          <t>Категория ЗИФ-2, Концентраторы</t>
        </is>
      </c>
      <c r="F203" t="inlineStr">
        <is>
          <t>Визуальный осмотр, продуть от пыли</t>
        </is>
      </c>
      <c r="G203" t="n">
        <v>60</v>
      </c>
      <c r="H203" t="n">
        <v>3</v>
      </c>
      <c r="I203" s="22" t="n">
        <v>46011</v>
      </c>
      <c r="J203" s="22">
        <f>I203+G203</f>
        <v/>
      </c>
      <c r="K203">
        <f>IF(J203&lt;=TODAY(),"ОБСЛУЖИТЬ",IF(J203-TODAY()&lt;=H203,"Внимание","Не требуется"))</f>
        <v/>
      </c>
    </row>
    <row r="204">
      <c r="A204" t="n">
        <v>200</v>
      </c>
      <c r="B204" t="inlineStr">
        <is>
          <t>ЗИФ-2</t>
        </is>
      </c>
      <c r="C204" t="inlineStr">
        <is>
          <t>Шкаф ввода-вывода Knelson</t>
        </is>
      </c>
      <c r="D204" t="inlineStr">
        <is>
          <t>NCP-302</t>
        </is>
      </c>
      <c r="E204" t="inlineStr">
        <is>
          <t>Категория ЗИФ-2, Концентраторы</t>
        </is>
      </c>
      <c r="F204" t="inlineStr">
        <is>
          <t>Визуальный осмотр, продуть от пыли</t>
        </is>
      </c>
      <c r="G204" t="n">
        <v>60</v>
      </c>
      <c r="H204" t="n">
        <v>3</v>
      </c>
      <c r="I204" s="22" t="n">
        <v>46011</v>
      </c>
      <c r="J204" s="22">
        <f>I204+G204</f>
        <v/>
      </c>
      <c r="K204">
        <f>IF(J204&lt;=TODAY(),"ОБСЛУЖИТЬ",IF(J204-TODAY()&lt;=H204,"Внимание","Не требуется"))</f>
        <v/>
      </c>
    </row>
    <row r="205">
      <c r="A205" t="n">
        <v>201</v>
      </c>
      <c r="B205" t="inlineStr">
        <is>
          <t>ЗИФ-2</t>
        </is>
      </c>
      <c r="C205" t="inlineStr">
        <is>
          <t>Шкаф ввода-вывода Knelson</t>
        </is>
      </c>
      <c r="D205" t="inlineStr">
        <is>
          <t>NCP-303</t>
        </is>
      </c>
      <c r="E205" t="inlineStr">
        <is>
          <t>Категория ЗИФ-2, Концентраторы</t>
        </is>
      </c>
      <c r="F205" t="inlineStr">
        <is>
          <t>Визуальный осмотр, продуть от пыли</t>
        </is>
      </c>
      <c r="G205" t="n">
        <v>60</v>
      </c>
      <c r="H205" t="n">
        <v>3</v>
      </c>
      <c r="I205" s="22" t="n">
        <v>46011</v>
      </c>
      <c r="J205" s="22">
        <f>I205+G205</f>
        <v/>
      </c>
      <c r="K205">
        <f>IF(J205&lt;=TODAY(),"ОБСЛУЖИТЬ",IF(J205-TODAY()&lt;=H205,"Внимание","Не требуется"))</f>
        <v/>
      </c>
    </row>
    <row r="206">
      <c r="A206" t="n">
        <v>202</v>
      </c>
      <c r="B206" t="inlineStr">
        <is>
          <t>ЗИФ-2</t>
        </is>
      </c>
      <c r="C206" t="inlineStr">
        <is>
          <t>Шкаф ввода-вывода Knelson</t>
        </is>
      </c>
      <c r="D206" t="inlineStr">
        <is>
          <t>NCP-304</t>
        </is>
      </c>
      <c r="E206" t="inlineStr">
        <is>
          <t>Категория ЗИФ-2, Концентраторы</t>
        </is>
      </c>
      <c r="F206" t="inlineStr">
        <is>
          <t>Визуальный осмотр, продуть от пыли</t>
        </is>
      </c>
      <c r="G206" t="n">
        <v>60</v>
      </c>
      <c r="H206" t="n">
        <v>3</v>
      </c>
      <c r="I206" s="22" t="n">
        <v>46011</v>
      </c>
      <c r="J206" s="22">
        <f>I206+G206</f>
        <v/>
      </c>
      <c r="K206">
        <f>IF(J206&lt;=TODAY(),"ОБСЛУЖИТЬ",IF(J206-TODAY()&lt;=H206,"Внимание","Не требуется"))</f>
        <v/>
      </c>
    </row>
    <row r="207">
      <c r="A207" t="n">
        <v>203</v>
      </c>
      <c r="B207" t="inlineStr">
        <is>
          <t>ЗИФ-2</t>
        </is>
      </c>
      <c r="C207" t="inlineStr">
        <is>
          <t>Шкаф ввода-вывода Acacia</t>
        </is>
      </c>
      <c r="D207" t="inlineStr">
        <is>
          <t>LCPx04 - 200</t>
        </is>
      </c>
      <c r="E207" t="inlineStr">
        <is>
          <t>Категория ЗИФ-2, Акация 1</t>
        </is>
      </c>
      <c r="F207" t="inlineStr">
        <is>
          <t>Визуальный осмотр, продуть от пыли</t>
        </is>
      </c>
      <c r="G207" t="n">
        <v>60</v>
      </c>
      <c r="H207" t="n">
        <v>3</v>
      </c>
      <c r="I207" s="22" t="n">
        <v>46021</v>
      </c>
      <c r="J207" s="22">
        <f>I207+G207</f>
        <v/>
      </c>
      <c r="K207">
        <f>IF(J207&lt;=TODAY(),"ОБСЛУЖИТЬ",IF(J207-TODAY()&lt;=H207,"Внимание","Не требуется"))</f>
        <v/>
      </c>
    </row>
    <row r="208">
      <c r="A208" t="n">
        <v>204</v>
      </c>
      <c r="B208" t="inlineStr">
        <is>
          <t>ЗИФ-2</t>
        </is>
      </c>
      <c r="C208" t="inlineStr">
        <is>
          <t>Шкаф ввода-вывода Acacia</t>
        </is>
      </c>
      <c r="D208" t="inlineStr">
        <is>
          <t>LCPx04 - 210</t>
        </is>
      </c>
      <c r="E208" t="inlineStr">
        <is>
          <t>Категория ЗИФ-2, Акация 2</t>
        </is>
      </c>
      <c r="F208" t="inlineStr">
        <is>
          <t>Визуальный осмотр, продуть от пыли</t>
        </is>
      </c>
      <c r="G208" t="n">
        <v>60</v>
      </c>
      <c r="H208" t="n">
        <v>3</v>
      </c>
      <c r="I208" s="22" t="n">
        <v>46021</v>
      </c>
      <c r="J208" s="22">
        <f>I208+G208</f>
        <v/>
      </c>
      <c r="K208">
        <f>IF(J208&lt;=TODAY(),"ОБСЛУЖИТЬ",IF(J208-TODAY()&lt;=H208,"Внимание","Не требуется"))</f>
        <v/>
      </c>
    </row>
    <row r="209">
      <c r="A209" t="n">
        <v>205</v>
      </c>
      <c r="B209" t="inlineStr">
        <is>
          <t>ЗИФ-2</t>
        </is>
      </c>
      <c r="C209" t="inlineStr">
        <is>
          <t>Шкаф ввода-вывода Acacia</t>
        </is>
      </c>
      <c r="D209" t="inlineStr">
        <is>
          <t>LCPx04 - 220</t>
        </is>
      </c>
      <c r="E209" t="inlineStr">
        <is>
          <t>Категория ЗИФ-2, Акация 3</t>
        </is>
      </c>
      <c r="F209" t="inlineStr">
        <is>
          <t>Визуальный осмотр, продуть от пыли</t>
        </is>
      </c>
      <c r="G209" t="n">
        <v>60</v>
      </c>
      <c r="H209" t="n">
        <v>3</v>
      </c>
      <c r="I209" s="22" t="n">
        <v>46021</v>
      </c>
      <c r="J209" s="22">
        <f>I209+G209</f>
        <v/>
      </c>
      <c r="K209">
        <f>IF(J209&lt;=TODAY(),"ОБСЛУЖИТЬ",IF(J209-TODAY()&lt;=H209,"Внимание","Не требуется"))</f>
        <v/>
      </c>
    </row>
    <row r="210">
      <c r="A210" t="n">
        <v>206</v>
      </c>
      <c r="B210" t="inlineStr">
        <is>
          <t>ЗИФ-2</t>
        </is>
      </c>
      <c r="C210" t="inlineStr">
        <is>
          <t>Шкаф ПЛК ПлНС-1</t>
        </is>
      </c>
      <c r="D210" t="inlineStr">
        <is>
          <t>ШУН ПлНС-1</t>
        </is>
      </c>
      <c r="E210" t="inlineStr">
        <is>
          <t>Хвостохранилище</t>
        </is>
      </c>
      <c r="F210" t="inlineStr">
        <is>
          <t>Визуальный осмотр, продуть от пыли</t>
        </is>
      </c>
      <c r="G210" t="n">
        <v>60</v>
      </c>
      <c r="H210" t="n">
        <v>3</v>
      </c>
      <c r="I210" s="22" t="n">
        <v>45960</v>
      </c>
      <c r="J210" s="22">
        <f>I210+G210</f>
        <v/>
      </c>
      <c r="K210">
        <f>IF(J210&lt;=TODAY(),"ОБСЛУЖИТЬ",IF(J210-TODAY()&lt;=H210,"Внимание","Не требуется"))</f>
        <v/>
      </c>
    </row>
    <row r="211">
      <c r="A211" t="n">
        <v>207</v>
      </c>
      <c r="B211" t="inlineStr">
        <is>
          <t>ЗИФ-2</t>
        </is>
      </c>
      <c r="C211" t="inlineStr">
        <is>
          <t>Шкаф ПЛК ПлНС-2</t>
        </is>
      </c>
      <c r="D211" t="inlineStr">
        <is>
          <t>ШУН ПлНС-2</t>
        </is>
      </c>
      <c r="E211" t="inlineStr">
        <is>
          <t>Хвостохранилище</t>
        </is>
      </c>
      <c r="F211" t="inlineStr">
        <is>
          <t>Визуальный осмотр, продуть от пыли</t>
        </is>
      </c>
      <c r="G211" t="n">
        <v>60</v>
      </c>
      <c r="H211" t="n">
        <v>3</v>
      </c>
      <c r="I211" s="22" t="n">
        <v>45960</v>
      </c>
      <c r="J211" s="22">
        <f>I211+G211</f>
        <v/>
      </c>
      <c r="K211">
        <f>IF(J211&lt;=TODAY(),"ОБСЛУЖИТЬ",IF(J211-TODAY()&lt;=H211,"Внимание","Не требуется"))</f>
        <v/>
      </c>
    </row>
    <row r="212">
      <c r="A212" t="n">
        <v>208</v>
      </c>
      <c r="B212" t="inlineStr">
        <is>
          <t>ЗИФ-2</t>
        </is>
      </c>
      <c r="C212" t="inlineStr">
        <is>
          <t>Шкаф ПЛК ПлНС-3</t>
        </is>
      </c>
      <c r="D212" t="inlineStr">
        <is>
          <t>ШУН ПлНС-3</t>
        </is>
      </c>
      <c r="E212" t="inlineStr">
        <is>
          <t>Хвостохранилище</t>
        </is>
      </c>
      <c r="F212" t="inlineStr">
        <is>
          <t>Визуальный осмотр, продуть от пыли</t>
        </is>
      </c>
      <c r="G212" t="n">
        <v>60</v>
      </c>
      <c r="H212" t="n">
        <v>3</v>
      </c>
      <c r="I212" s="22" t="n">
        <v>45960</v>
      </c>
      <c r="J212" s="22">
        <f>I212+G212</f>
        <v/>
      </c>
      <c r="K212">
        <f>IF(J212&lt;=TODAY(),"ОБСЛУЖИТЬ",IF(J212-TODAY()&lt;=H212,"Внимание","Не требуется"))</f>
        <v/>
      </c>
    </row>
    <row r="213">
      <c r="A213" t="n">
        <v>209</v>
      </c>
      <c r="B213" t="inlineStr">
        <is>
          <t>ЗИФ-2</t>
        </is>
      </c>
      <c r="C213" t="inlineStr">
        <is>
          <t>Шкаф ПЛК ДНС</t>
        </is>
      </c>
      <c r="D213" t="inlineStr">
        <is>
          <t>ШУН ДНС</t>
        </is>
      </c>
      <c r="E213" t="inlineStr">
        <is>
          <t>Хвостохранилище</t>
        </is>
      </c>
      <c r="F213" t="inlineStr">
        <is>
          <t>Визуальный осмотр, продуть от пыли</t>
        </is>
      </c>
      <c r="G213" t="n">
        <v>60</v>
      </c>
      <c r="H213" t="n">
        <v>3</v>
      </c>
      <c r="I213" s="22" t="n">
        <v>45960</v>
      </c>
      <c r="J213" s="22">
        <f>I213+G213</f>
        <v/>
      </c>
      <c r="K213">
        <f>IF(J213&lt;=TODAY(),"ОБСЛУЖИТЬ",IF(J213-TODAY()&lt;=H213,"Внимание","Не требуется"))</f>
        <v/>
      </c>
    </row>
    <row r="214">
      <c r="A214" t="n">
        <v>210</v>
      </c>
      <c r="B214" t="inlineStr">
        <is>
          <t>ЗИФ-2</t>
        </is>
      </c>
      <c r="C214" t="inlineStr">
        <is>
          <t>Шкаф ПЛК ЗУМПФ-4</t>
        </is>
      </c>
      <c r="D214" t="inlineStr">
        <is>
          <t>ШУН ЗУМПФ-4</t>
        </is>
      </c>
      <c r="E214" t="inlineStr">
        <is>
          <t>Хвостохранилище</t>
        </is>
      </c>
      <c r="F214" t="inlineStr">
        <is>
          <t>Визуальный осмотр, продуть от пыли</t>
        </is>
      </c>
      <c r="G214" t="n">
        <v>60</v>
      </c>
      <c r="H214" t="n">
        <v>3</v>
      </c>
      <c r="I214" s="22" t="n">
        <v>45960</v>
      </c>
      <c r="J214" s="22">
        <f>I214+G214</f>
        <v/>
      </c>
      <c r="K214">
        <f>IF(J214&lt;=TODAY(),"ОБСЛУЖИТЬ",IF(J214-TODAY()&lt;=H214,"Внимание","Не требуется"))</f>
        <v/>
      </c>
    </row>
    <row r="215">
      <c r="A215" t="n">
        <v>211</v>
      </c>
      <c r="B215" t="inlineStr">
        <is>
          <t>ЗИФ-2</t>
        </is>
      </c>
      <c r="C215" t="inlineStr">
        <is>
          <t>Шкаф ПЛК ВГЖУ</t>
        </is>
      </c>
      <c r="D215" t="inlineStr">
        <is>
          <t>ША ВГЖУ В10</t>
        </is>
      </c>
      <c r="E215" t="inlineStr">
        <is>
          <t>Венткамера ЗИФ-2</t>
        </is>
      </c>
      <c r="F215" t="inlineStr">
        <is>
          <t>Визуальный осмотр, продуть от пыли</t>
        </is>
      </c>
      <c r="G215" t="n">
        <v>61</v>
      </c>
      <c r="H215" t="n">
        <v>3</v>
      </c>
      <c r="I215" s="25" t="n">
        <v>45961</v>
      </c>
      <c r="J215" s="22">
        <f>I215+G215</f>
        <v/>
      </c>
      <c r="K215">
        <f>IF(J215&lt;=TODAY(),"ОБСЛУЖИТЬ",IF(J215-TODAY()&lt;=H215,"Внимание","Не требуется"))</f>
        <v/>
      </c>
    </row>
    <row r="216">
      <c r="A216" t="n">
        <v>212</v>
      </c>
      <c r="B216" t="inlineStr">
        <is>
          <t>ЗИФ-2</t>
        </is>
      </c>
      <c r="C216" t="inlineStr">
        <is>
          <t>Шкаф ПЛК ВГЖУ</t>
        </is>
      </c>
      <c r="D216" t="inlineStr">
        <is>
          <t xml:space="preserve">ША ВГЖУ В33 </t>
        </is>
      </c>
      <c r="E216" t="inlineStr">
        <is>
          <t>Венткамера ЗИФ-2</t>
        </is>
      </c>
      <c r="F216" t="inlineStr">
        <is>
          <t>Визуальный осмотр, продуть от пыли</t>
        </is>
      </c>
      <c r="G216" t="n">
        <v>61</v>
      </c>
      <c r="H216" t="n">
        <v>3</v>
      </c>
      <c r="I216" s="25" t="n">
        <v>45961</v>
      </c>
      <c r="J216" s="22">
        <f>I216+G216</f>
        <v/>
      </c>
      <c r="K216">
        <f>IF(J216&lt;=TODAY(),"ОБСЛУЖИТЬ",IF(J216-TODAY()&lt;=H216,"Внимание","Не требуется"))</f>
        <v/>
      </c>
    </row>
    <row r="217">
      <c r="A217" t="n">
        <v>213</v>
      </c>
      <c r="B217" t="inlineStr">
        <is>
          <t>ЗИФ-2</t>
        </is>
      </c>
      <c r="C217" t="inlineStr">
        <is>
          <t>Шкаф ПЛК ВГЖУ</t>
        </is>
      </c>
      <c r="D217" t="inlineStr">
        <is>
          <t>ША ВГЖУ В34</t>
        </is>
      </c>
      <c r="E217" t="inlineStr">
        <is>
          <t>Венткамера ЗИФ-2</t>
        </is>
      </c>
      <c r="F217" t="inlineStr">
        <is>
          <t>Визуальный осмотр, продуть от пыли</t>
        </is>
      </c>
      <c r="G217" t="n">
        <v>61</v>
      </c>
      <c r="H217" t="n">
        <v>3</v>
      </c>
      <c r="I217" s="25" t="n">
        <v>45961</v>
      </c>
      <c r="J217" s="22">
        <f>I217+G217</f>
        <v/>
      </c>
      <c r="K217">
        <f>IF(J217&lt;=TODAY(),"ОБСЛУЖИТЬ",IF(J217-TODAY()&lt;=H217,"Внимание","Не требуется"))</f>
        <v/>
      </c>
    </row>
    <row r="218">
      <c r="A218" t="n">
        <v>214</v>
      </c>
      <c r="B218" t="inlineStr">
        <is>
          <t>ЗИФ-2</t>
        </is>
      </c>
      <c r="C218" t="inlineStr">
        <is>
          <t xml:space="preserve">Шкаф ввода-вывода </t>
        </is>
      </c>
      <c r="D218" t="inlineStr">
        <is>
          <t xml:space="preserve">6231 Реагенты 900 </t>
        </is>
      </c>
      <c r="E218" t="inlineStr">
        <is>
          <t>Отделение Ксантогената</t>
        </is>
      </c>
      <c r="F218" t="inlineStr">
        <is>
          <t>Визуальный осмотр, продуть от пыли</t>
        </is>
      </c>
      <c r="G218" t="n">
        <v>61</v>
      </c>
      <c r="H218" t="n">
        <v>3</v>
      </c>
      <c r="I218" s="22" t="n">
        <v>45977</v>
      </c>
      <c r="J218" s="22">
        <f>I218+G218</f>
        <v/>
      </c>
      <c r="K218">
        <f>IF(J218&lt;=TODAY(),"ОБСЛУЖИТЬ",IF(J218-TODAY()&lt;=H218,"Внимание","Не требуется"))</f>
        <v/>
      </c>
    </row>
    <row r="219">
      <c r="A219" t="n">
        <v>215</v>
      </c>
      <c r="B219" t="inlineStr">
        <is>
          <t>ЗИФ-2</t>
        </is>
      </c>
      <c r="C219" t="inlineStr">
        <is>
          <t>Шкаф ПЛК Воздуходувки</t>
        </is>
      </c>
      <c r="D219" t="inlineStr">
        <is>
          <t>BL265</t>
        </is>
      </c>
      <c r="E219" t="inlineStr">
        <is>
          <t>ЭЩ №99</t>
        </is>
      </c>
      <c r="F219" t="inlineStr">
        <is>
          <t>Визуальный осмотр, продуть от пыли, протереть</t>
        </is>
      </c>
      <c r="G219" t="n">
        <v>60</v>
      </c>
      <c r="H219" t="n">
        <v>3</v>
      </c>
      <c r="I219" s="25" t="n">
        <v>46025</v>
      </c>
      <c r="J219" s="22">
        <f>I219+G219</f>
        <v/>
      </c>
      <c r="K219">
        <f>IF(J219&lt;=TODAY(),"ОБСЛУЖИТЬ",IF(J219-TODAY()&lt;=H219,"Внимание","Не требуется"))</f>
        <v/>
      </c>
    </row>
    <row r="220">
      <c r="A220" t="n">
        <v>216</v>
      </c>
      <c r="B220" t="inlineStr">
        <is>
          <t>ЗИФ-2</t>
        </is>
      </c>
      <c r="C220" t="inlineStr">
        <is>
          <t>Шкаф ПЛК Воздуходувки</t>
        </is>
      </c>
      <c r="D220" t="inlineStr">
        <is>
          <t>BL266</t>
        </is>
      </c>
      <c r="E220" t="inlineStr">
        <is>
          <t>ЭЩ №99</t>
        </is>
      </c>
      <c r="F220" t="inlineStr">
        <is>
          <t>Визуальный осмотр, продуть от пыли, протереть</t>
        </is>
      </c>
      <c r="G220" t="n">
        <v>60</v>
      </c>
      <c r="H220" t="n">
        <v>3</v>
      </c>
      <c r="I220" s="25" t="n">
        <v>46025</v>
      </c>
      <c r="J220" s="22">
        <f>I220+G220</f>
        <v/>
      </c>
      <c r="K220">
        <f>IF(J220&lt;=TODAY(),"ОБСЛУЖИТЬ",IF(J220-TODAY()&lt;=H220,"Внимание","Не требуется"))</f>
        <v/>
      </c>
    </row>
    <row r="221">
      <c r="A221" t="n">
        <v>217</v>
      </c>
      <c r="B221" t="inlineStr">
        <is>
          <t>ЗИФ-2</t>
        </is>
      </c>
      <c r="C221" t="inlineStr">
        <is>
          <t>Шкаф HMI</t>
        </is>
      </c>
      <c r="D221" t="inlineStr">
        <is>
          <t>HMI Flotation</t>
        </is>
      </c>
      <c r="E221" t="inlineStr">
        <is>
          <t>Флотация</t>
        </is>
      </c>
      <c r="F221" t="inlineStr">
        <is>
          <t>Визуальный осмотр, продуть от пыли, протереть</t>
        </is>
      </c>
      <c r="G221" t="n">
        <v>90</v>
      </c>
      <c r="H221" t="n">
        <v>3</v>
      </c>
      <c r="I221" s="22" t="n">
        <v>45937</v>
      </c>
      <c r="J221" s="22">
        <f>I221+G221</f>
        <v/>
      </c>
      <c r="K221">
        <f>IF(J221&lt;=TODAY(),"ОБСЛУЖИТЬ",IF(J221-TODAY()&lt;=H221,"Внимание","Не требуется"))</f>
        <v/>
      </c>
    </row>
    <row r="222">
      <c r="A222" t="n">
        <v>218</v>
      </c>
      <c r="B222" t="inlineStr">
        <is>
          <t>ЗИФ-2</t>
        </is>
      </c>
      <c r="C222" t="inlineStr">
        <is>
          <t>Шкаф HMI</t>
        </is>
      </c>
      <c r="D222" t="inlineStr">
        <is>
          <t>HMI Sorbtion</t>
        </is>
      </c>
      <c r="E222" t="inlineStr">
        <is>
          <t>Сорбция</t>
        </is>
      </c>
      <c r="F222" t="inlineStr">
        <is>
          <t>Визуальный осмотр, продуть от пыли, протереть</t>
        </is>
      </c>
      <c r="G222" t="n">
        <v>90</v>
      </c>
      <c r="H222" t="n">
        <v>3</v>
      </c>
      <c r="I222" s="22" t="n">
        <v>45937</v>
      </c>
      <c r="J222" s="22">
        <f>I222+G222</f>
        <v/>
      </c>
      <c r="K222">
        <f>IF(J222&lt;=TODAY(),"ОБСЛУЖИТЬ",IF(J222-TODAY()&lt;=H222,"Внимание","Не требуется"))</f>
        <v/>
      </c>
    </row>
    <row r="223">
      <c r="A223" t="n">
        <v>219</v>
      </c>
      <c r="B223" t="inlineStr">
        <is>
          <t>ЗИФ-2</t>
        </is>
      </c>
      <c r="C223" t="inlineStr">
        <is>
          <t>Шкаф ПЛК Парогенератора</t>
        </is>
      </c>
      <c r="D223" t="inlineStr">
        <is>
          <t>ТИТАН-1800 538</t>
        </is>
      </c>
      <c r="E223" t="inlineStr">
        <is>
          <t>Сорбция</t>
        </is>
      </c>
      <c r="F223" t="inlineStr">
        <is>
          <t>Визуальный осмотр, продуть от пыли</t>
        </is>
      </c>
      <c r="G223" t="n">
        <v>60</v>
      </c>
      <c r="H223" t="n">
        <v>3</v>
      </c>
      <c r="I223" s="22" t="n">
        <v>45977</v>
      </c>
      <c r="J223" s="22">
        <f>I223+G223</f>
        <v/>
      </c>
      <c r="K223">
        <f>IF(J223&lt;=TODAY(),"ОБСЛУЖИТЬ",IF(J223-TODAY()&lt;=H223,"Внимание","Не требуется"))</f>
        <v/>
      </c>
    </row>
    <row r="224">
      <c r="A224" t="n">
        <v>220</v>
      </c>
      <c r="B224" t="inlineStr">
        <is>
          <t>ЗИФ-2</t>
        </is>
      </c>
      <c r="C224" t="inlineStr">
        <is>
          <t>Шкаф ПЛК Парогенератора</t>
        </is>
      </c>
      <c r="D224" t="inlineStr">
        <is>
          <t>ТИТАН-1800 534</t>
        </is>
      </c>
      <c r="E224" t="inlineStr">
        <is>
          <t>Сорбция</t>
        </is>
      </c>
      <c r="F224" t="inlineStr">
        <is>
          <t>Визуальный осмотр, продуть от пыли</t>
        </is>
      </c>
      <c r="G224" t="n">
        <v>60</v>
      </c>
      <c r="H224" t="n">
        <v>3</v>
      </c>
      <c r="I224" s="22" t="n">
        <v>45977</v>
      </c>
      <c r="J224" s="22">
        <f>I224+G224</f>
        <v/>
      </c>
      <c r="K224">
        <f>IF(J224&lt;=TODAY(),"ОБСЛУЖИТЬ",IF(J224-TODAY()&lt;=H224,"Внимание","Не требуется"))</f>
        <v/>
      </c>
    </row>
    <row r="225">
      <c r="A225" t="n">
        <v>221</v>
      </c>
      <c r="B225" t="inlineStr">
        <is>
          <t>ЗИФ-2</t>
        </is>
      </c>
      <c r="C225" t="inlineStr">
        <is>
          <t>Шкаф ПЛК Парогенератора</t>
        </is>
      </c>
      <c r="D225" t="inlineStr">
        <is>
          <t>ТИТАН-1800 528</t>
        </is>
      </c>
      <c r="E225" t="inlineStr">
        <is>
          <t>Сорбция</t>
        </is>
      </c>
      <c r="F225" t="inlineStr">
        <is>
          <t>Визуальный осмотр, продуть от пыли</t>
        </is>
      </c>
      <c r="G225" t="n">
        <v>60</v>
      </c>
      <c r="H225" t="n">
        <v>3</v>
      </c>
      <c r="I225" s="22" t="n">
        <v>45977</v>
      </c>
      <c r="J225" s="22">
        <f>I225+G225</f>
        <v/>
      </c>
      <c r="K225">
        <f>IF(J225&lt;=TODAY(),"ОБСЛУЖИТЬ",IF(J225-TODAY()&lt;=H225,"Внимание","Не требуется"))</f>
        <v/>
      </c>
    </row>
    <row r="226">
      <c r="A226" t="n">
        <v>222</v>
      </c>
      <c r="B226" t="inlineStr">
        <is>
          <t>ЗИФ-2</t>
        </is>
      </c>
      <c r="C226" t="inlineStr">
        <is>
          <t>Шкаф ПЛК Парогенератора</t>
        </is>
      </c>
      <c r="D226" t="inlineStr">
        <is>
          <t>ТИТАН-1800 524</t>
        </is>
      </c>
      <c r="E226" t="inlineStr">
        <is>
          <t>Сорбция</t>
        </is>
      </c>
      <c r="F226" t="inlineStr">
        <is>
          <t>Визуальный осмотр, продуть от пыли</t>
        </is>
      </c>
      <c r="G226" t="n">
        <v>60</v>
      </c>
      <c r="H226" t="n">
        <v>3</v>
      </c>
      <c r="I226" s="22" t="n">
        <v>45977</v>
      </c>
      <c r="J226" s="22">
        <f>I226+G226</f>
        <v/>
      </c>
      <c r="K226">
        <f>IF(J226&lt;=TODAY(),"ОБСЛУЖИТЬ",IF(J226-TODAY()&lt;=H226,"Внимание","Не требуется"))</f>
        <v/>
      </c>
    </row>
    <row r="227">
      <c r="A227" t="n">
        <v>223</v>
      </c>
      <c r="B227" t="inlineStr">
        <is>
          <t>ЗИФ-2</t>
        </is>
      </c>
      <c r="C227" t="inlineStr">
        <is>
          <t xml:space="preserve">Шкаф ввода-вывода </t>
        </is>
      </c>
      <c r="D227" t="inlineStr">
        <is>
          <t xml:space="preserve">6232 Реагенты 905 </t>
        </is>
      </c>
      <c r="E227" t="inlineStr">
        <is>
          <t>Отделение Вспенивателя</t>
        </is>
      </c>
      <c r="F227" t="inlineStr">
        <is>
          <t>Визуальный осмотр, продуть от пыли</t>
        </is>
      </c>
      <c r="G227" t="n">
        <v>60</v>
      </c>
      <c r="H227" t="n">
        <v>3</v>
      </c>
      <c r="I227" s="22" t="n">
        <v>45977</v>
      </c>
      <c r="J227" s="22">
        <f>I227+G227</f>
        <v/>
      </c>
      <c r="K227">
        <f>IF(J227&lt;=TODAY(),"ОБСЛУЖИТЬ",IF(J227-TODAY()&lt;=H227,"Внимание","Не требуется"))</f>
        <v/>
      </c>
    </row>
    <row r="228">
      <c r="A228" t="n">
        <v>224</v>
      </c>
      <c r="B228" t="inlineStr">
        <is>
          <t>ЗИФ-2</t>
        </is>
      </c>
      <c r="C228" t="inlineStr">
        <is>
          <t xml:space="preserve">Шкаф ввода-вывода </t>
        </is>
      </c>
      <c r="D228" t="inlineStr">
        <is>
          <t xml:space="preserve">6234 Реагенты 930 </t>
        </is>
      </c>
      <c r="E228" t="inlineStr">
        <is>
          <t>Отделение Цианида</t>
        </is>
      </c>
      <c r="F228" t="inlineStr">
        <is>
          <t>Визуальный осмотр, продуть от пыли</t>
        </is>
      </c>
      <c r="G228" t="n">
        <v>60</v>
      </c>
      <c r="H228" t="n">
        <v>3</v>
      </c>
      <c r="I228" s="22" t="n">
        <v>45977</v>
      </c>
      <c r="J228" s="22">
        <f>I228+G228</f>
        <v/>
      </c>
      <c r="K228">
        <f>IF(J228&lt;=TODAY(),"ОБСЛУЖИТЬ",IF(J228-TODAY()&lt;=H228,"Внимание","Не требуется"))</f>
        <v/>
      </c>
    </row>
    <row r="229">
      <c r="A229" t="n">
        <v>225</v>
      </c>
      <c r="B229" t="inlineStr">
        <is>
          <t>ЗИФ-2</t>
        </is>
      </c>
      <c r="C229" t="inlineStr">
        <is>
          <t xml:space="preserve">Шкаф ввода-вывода </t>
        </is>
      </c>
      <c r="D229" t="inlineStr">
        <is>
          <t xml:space="preserve">6224 Реагенты 910 </t>
        </is>
      </c>
      <c r="E229" t="inlineStr">
        <is>
          <t>Отделение Гипохлорита</t>
        </is>
      </c>
      <c r="F229" t="inlineStr">
        <is>
          <t>Визуальный осмотр, продуть от пыли</t>
        </is>
      </c>
      <c r="G229" t="n">
        <v>60</v>
      </c>
      <c r="H229" t="n">
        <v>3</v>
      </c>
      <c r="I229" s="22" t="n">
        <v>45977</v>
      </c>
      <c r="J229" s="22">
        <f>I229+G229</f>
        <v/>
      </c>
      <c r="K229">
        <f>IF(J229&lt;=TODAY(),"ОБСЛУЖИТЬ",IF(J229-TODAY()&lt;=H229,"Внимание","Не требуется"))</f>
        <v/>
      </c>
    </row>
    <row r="230">
      <c r="A230" t="n">
        <v>226</v>
      </c>
      <c r="B230" t="inlineStr">
        <is>
          <t>ЗИФ-2</t>
        </is>
      </c>
      <c r="C230" t="inlineStr">
        <is>
          <t xml:space="preserve">Шкаф ввода-вывода </t>
        </is>
      </c>
      <c r="D230" t="inlineStr">
        <is>
          <t xml:space="preserve">6225 Реагенты 915 </t>
        </is>
      </c>
      <c r="E230" t="inlineStr">
        <is>
          <t>Отделение Извести</t>
        </is>
      </c>
      <c r="F230" t="inlineStr">
        <is>
          <t>Визуальный осмотр, продуть от пыли</t>
        </is>
      </c>
      <c r="G230" t="n">
        <v>60</v>
      </c>
      <c r="H230" t="n">
        <v>3</v>
      </c>
      <c r="I230" s="22" t="n">
        <v>45977</v>
      </c>
      <c r="J230" s="22">
        <f>I230+G230</f>
        <v/>
      </c>
      <c r="K230">
        <f>IF(J230&lt;=TODAY(),"ОБСЛУЖИТЬ",IF(J230-TODAY()&lt;=H230,"Внимание","Не требуется"))</f>
        <v/>
      </c>
    </row>
    <row r="231">
      <c r="A231" t="n">
        <v>227</v>
      </c>
      <c r="B231" t="inlineStr">
        <is>
          <t>ЗИФ-2</t>
        </is>
      </c>
      <c r="C231" t="inlineStr">
        <is>
          <t xml:space="preserve">Шкаф ввода-вывода </t>
        </is>
      </c>
      <c r="D231" t="inlineStr">
        <is>
          <t xml:space="preserve">6226 Реагенты 920 </t>
        </is>
      </c>
      <c r="E231" t="inlineStr">
        <is>
          <t>Отделение Жел. Купороса</t>
        </is>
      </c>
      <c r="F231" t="inlineStr">
        <is>
          <t>Визуальный осмотр, продуть от пыли</t>
        </is>
      </c>
      <c r="G231" t="n">
        <v>60</v>
      </c>
      <c r="H231" t="n">
        <v>3</v>
      </c>
      <c r="I231" s="22" t="n">
        <v>45977</v>
      </c>
      <c r="J231" s="22">
        <f>I231+G231</f>
        <v/>
      </c>
      <c r="K231">
        <f>IF(J231&lt;=TODAY(),"ОБСЛУЖИТЬ",IF(J231-TODAY()&lt;=H231,"Внимание","Не требуется"))</f>
        <v/>
      </c>
    </row>
    <row r="232">
      <c r="A232" t="n">
        <v>228</v>
      </c>
      <c r="B232" t="inlineStr">
        <is>
          <t>ЗИФ-2</t>
        </is>
      </c>
      <c r="C232" t="inlineStr">
        <is>
          <t xml:space="preserve">Шкаф ввода-вывода </t>
        </is>
      </c>
      <c r="D232" t="inlineStr">
        <is>
          <t xml:space="preserve">6227 Реагенты 925 </t>
        </is>
      </c>
      <c r="E232" t="inlineStr">
        <is>
          <t>Отделение Щелочи</t>
        </is>
      </c>
      <c r="F232" t="inlineStr">
        <is>
          <t>Визуальный осмотр, продуть от пыли</t>
        </is>
      </c>
      <c r="G232" t="n">
        <v>60</v>
      </c>
      <c r="H232" t="n">
        <v>3</v>
      </c>
      <c r="I232" s="22" t="n">
        <v>45977</v>
      </c>
      <c r="J232" s="22">
        <f>I232+G232</f>
        <v/>
      </c>
      <c r="K232">
        <f>IF(J232&lt;=TODAY(),"ОБСЛУЖИТЬ",IF(J232-TODAY()&lt;=H232,"Внимание","Не требуется"))</f>
        <v/>
      </c>
    </row>
    <row r="233">
      <c r="A233" t="n">
        <v>229</v>
      </c>
      <c r="B233" t="inlineStr">
        <is>
          <t>ЗИФ-2</t>
        </is>
      </c>
      <c r="C233" t="inlineStr">
        <is>
          <t xml:space="preserve">Шкаф ввода-вывода </t>
        </is>
      </c>
      <c r="D233" t="inlineStr">
        <is>
          <t xml:space="preserve">6228 Реагенты 935 </t>
        </is>
      </c>
      <c r="E233" t="inlineStr">
        <is>
          <t>Отделение Медного купороса</t>
        </is>
      </c>
      <c r="F233" t="inlineStr">
        <is>
          <t>Визуальный осмотр, продуть от пыли</t>
        </is>
      </c>
      <c r="G233" t="n">
        <v>60</v>
      </c>
      <c r="H233" t="n">
        <v>3</v>
      </c>
      <c r="I233" s="22" t="n">
        <v>45977</v>
      </c>
      <c r="J233" s="22">
        <f>I233+G233</f>
        <v/>
      </c>
      <c r="K233">
        <f>IF(J233&lt;=TODAY(),"ОБСЛУЖИТЬ",IF(J233-TODAY()&lt;=H233,"Внимание","Не требуется"))</f>
        <v/>
      </c>
    </row>
    <row r="234">
      <c r="A234" t="n">
        <v>230</v>
      </c>
      <c r="B234" t="inlineStr">
        <is>
          <t>ЗИФ-2</t>
        </is>
      </c>
      <c r="C234" t="inlineStr">
        <is>
          <t xml:space="preserve">Шкаф ввода-вывода </t>
        </is>
      </c>
      <c r="D234" t="inlineStr">
        <is>
          <t xml:space="preserve">6229 Реагенты 940 </t>
        </is>
      </c>
      <c r="E234" t="inlineStr">
        <is>
          <t>Отделение Солян. Кислоты</t>
        </is>
      </c>
      <c r="F234" t="inlineStr">
        <is>
          <t>Визуальный осмотр, продуть от пыли</t>
        </is>
      </c>
      <c r="G234" t="n">
        <v>60</v>
      </c>
      <c r="H234" t="n">
        <v>3</v>
      </c>
      <c r="I234" s="22" t="n">
        <v>45977</v>
      </c>
      <c r="J234" s="22">
        <f>I234+G234</f>
        <v/>
      </c>
      <c r="K234">
        <f>IF(J234&lt;=TODAY(),"ОБСЛУЖИТЬ",IF(J234-TODAY()&lt;=H234,"Внимание","Не требуется"))</f>
        <v/>
      </c>
    </row>
    <row r="235">
      <c r="A235" t="n">
        <v>231</v>
      </c>
      <c r="B235" t="inlineStr">
        <is>
          <t>ЗИФ-2</t>
        </is>
      </c>
      <c r="C235" t="inlineStr">
        <is>
          <t>Шкаф ПЛК</t>
        </is>
      </c>
      <c r="D235" t="inlineStr">
        <is>
          <t>993CS100A01</t>
        </is>
      </c>
      <c r="E235" t="inlineStr">
        <is>
          <t>ПЛК АСУТП измельчение</t>
        </is>
      </c>
      <c r="F235" t="inlineStr">
        <is>
          <t>Продуть от пыли</t>
        </is>
      </c>
      <c r="G235" t="n">
        <v>62</v>
      </c>
      <c r="H235" t="n">
        <v>3</v>
      </c>
      <c r="I235" s="22" t="n">
        <v>45976</v>
      </c>
      <c r="J235" s="22">
        <f>I235+G235</f>
        <v/>
      </c>
      <c r="K235">
        <f>IF(J235&lt;=TODAY(),"ОБСЛУЖИТЬ",IF(J235-TODAY()&lt;=H235,"Внимание","Не требуется"))</f>
        <v/>
      </c>
    </row>
    <row r="236">
      <c r="A236" t="n">
        <v>232</v>
      </c>
      <c r="B236" t="inlineStr">
        <is>
          <t>ЗИФ-2</t>
        </is>
      </c>
      <c r="C236" t="inlineStr">
        <is>
          <t>Шкаф ввода-вывода</t>
        </is>
      </c>
      <c r="D236" t="inlineStr">
        <is>
          <t>993CS100A02</t>
        </is>
      </c>
      <c r="E236" t="inlineStr">
        <is>
          <t>ПЛК АСУТП измельчение</t>
        </is>
      </c>
      <c r="F236" t="inlineStr">
        <is>
          <t>Продуть от пыли</t>
        </is>
      </c>
      <c r="G236" t="n">
        <v>62</v>
      </c>
      <c r="H236" t="n">
        <v>3</v>
      </c>
      <c r="I236" s="22" t="n">
        <v>45976</v>
      </c>
      <c r="J236" s="22">
        <f>I236+G236</f>
        <v/>
      </c>
      <c r="K236">
        <f>IF(J236&lt;=TODAY(),"ОБСЛУЖИТЬ",IF(J236-TODAY()&lt;=H236,"Внимание","Не требуется"))</f>
        <v/>
      </c>
    </row>
    <row r="237">
      <c r="A237" t="n">
        <v>233</v>
      </c>
      <c r="B237" t="inlineStr">
        <is>
          <t>ЗИФ-2</t>
        </is>
      </c>
      <c r="C237" t="inlineStr">
        <is>
          <t>Шкаф ввода-вывода</t>
        </is>
      </c>
      <c r="D237" t="inlineStr">
        <is>
          <t>993CS100A03</t>
        </is>
      </c>
      <c r="E237" t="inlineStr">
        <is>
          <t>ПЛК АСУТП измельчение</t>
        </is>
      </c>
      <c r="F237" t="inlineStr">
        <is>
          <t>Продуть от пыли</t>
        </is>
      </c>
      <c r="G237" t="n">
        <v>62</v>
      </c>
      <c r="H237" t="n">
        <v>3</v>
      </c>
      <c r="I237" s="22" t="n">
        <v>45976</v>
      </c>
      <c r="J237" s="22">
        <f>I237+G237</f>
        <v/>
      </c>
      <c r="K237">
        <f>IF(J237&lt;=TODAY(),"ОБСЛУЖИТЬ",IF(J237-TODAY()&lt;=H237,"Внимание","Не требуется"))</f>
        <v/>
      </c>
    </row>
    <row r="238">
      <c r="A238" t="n">
        <v>234</v>
      </c>
      <c r="B238" t="inlineStr">
        <is>
          <t>ЗИФ-2</t>
        </is>
      </c>
      <c r="C238" t="inlineStr">
        <is>
          <t>Шкаф ввода-вывода</t>
        </is>
      </c>
      <c r="D238" t="inlineStr">
        <is>
          <t>993CS100A04</t>
        </is>
      </c>
      <c r="E238" t="inlineStr">
        <is>
          <t>ПЛК АСУТП измельчение</t>
        </is>
      </c>
      <c r="F238" t="inlineStr">
        <is>
          <t>Продуть от пыли</t>
        </is>
      </c>
      <c r="G238" t="n">
        <v>62</v>
      </c>
      <c r="H238" t="n">
        <v>3</v>
      </c>
      <c r="I238" s="22" t="n">
        <v>45976</v>
      </c>
      <c r="J238" s="22">
        <f>I238+G238</f>
        <v/>
      </c>
      <c r="K238">
        <f>IF(J238&lt;=TODAY(),"ОБСЛУЖИТЬ",IF(J238-TODAY()&lt;=H238,"Внимание","Не требуется"))</f>
        <v/>
      </c>
    </row>
    <row r="239">
      <c r="A239" t="n">
        <v>235</v>
      </c>
      <c r="B239" t="inlineStr">
        <is>
          <t>ЗИФ-2</t>
        </is>
      </c>
      <c r="C239" t="inlineStr">
        <is>
          <t>Шкаф ввода-вывода</t>
        </is>
      </c>
      <c r="D239" t="inlineStr">
        <is>
          <t>993CS100A05</t>
        </is>
      </c>
      <c r="E239" t="inlineStr">
        <is>
          <t>ПЛК АСУТП измельчение</t>
        </is>
      </c>
      <c r="F239" t="inlineStr">
        <is>
          <t>Продуть от пыли</t>
        </is>
      </c>
      <c r="G239" t="n">
        <v>62</v>
      </c>
      <c r="H239" t="n">
        <v>3</v>
      </c>
      <c r="I239" s="22" t="n">
        <v>45976</v>
      </c>
      <c r="J239" s="22">
        <f>I239+G239</f>
        <v/>
      </c>
      <c r="K239">
        <f>IF(J239&lt;=TODAY(),"ОБСЛУЖИТЬ",IF(J239-TODAY()&lt;=H239,"Внимание","Не требуется"))</f>
        <v/>
      </c>
    </row>
    <row r="240">
      <c r="A240" t="n">
        <v>236</v>
      </c>
      <c r="B240" t="inlineStr">
        <is>
          <t>ЗИФ-2</t>
        </is>
      </c>
      <c r="C240" t="inlineStr">
        <is>
          <t>Шкаф ПЛК</t>
        </is>
      </c>
      <c r="D240" t="inlineStr">
        <is>
          <t>994CS100A01</t>
        </is>
      </c>
      <c r="E240" t="inlineStr">
        <is>
          <t>ПЛК АСУТП измельчение</t>
        </is>
      </c>
      <c r="F240" t="inlineStr">
        <is>
          <t>Продуть от пыли</t>
        </is>
      </c>
      <c r="G240" t="n">
        <v>62</v>
      </c>
      <c r="H240" t="n">
        <v>3</v>
      </c>
      <c r="I240" s="22" t="n">
        <v>45976</v>
      </c>
      <c r="J240" s="22">
        <f>I240+G240</f>
        <v/>
      </c>
      <c r="K240">
        <f>IF(J240&lt;=TODAY(),"ОБСЛУЖИТЬ",IF(J240-TODAY()&lt;=H240,"Внимание","Не требуется"))</f>
        <v/>
      </c>
    </row>
    <row r="241">
      <c r="A241" t="n">
        <v>237</v>
      </c>
      <c r="B241" t="inlineStr">
        <is>
          <t>ЗИФ-2</t>
        </is>
      </c>
      <c r="C241" t="inlineStr">
        <is>
          <t>Шкаф ввода-вывода</t>
        </is>
      </c>
      <c r="D241" t="inlineStr">
        <is>
          <t>994CS100A02</t>
        </is>
      </c>
      <c r="E241" t="inlineStr">
        <is>
          <t>ПЛК АСУТП измельчение</t>
        </is>
      </c>
      <c r="F241" t="inlineStr">
        <is>
          <t>Продуть от пыли</t>
        </is>
      </c>
      <c r="G241" t="n">
        <v>62</v>
      </c>
      <c r="H241" t="n">
        <v>3</v>
      </c>
      <c r="I241" s="22" t="n">
        <v>45976</v>
      </c>
      <c r="J241" s="22">
        <f>I241+G241</f>
        <v/>
      </c>
      <c r="K241">
        <f>IF(J241&lt;=TODAY(),"ОБСЛУЖИТЬ",IF(J241-TODAY()&lt;=H241,"Внимание","Не требуется"))</f>
        <v/>
      </c>
    </row>
    <row r="242">
      <c r="A242" t="n">
        <v>238</v>
      </c>
      <c r="B242" t="inlineStr">
        <is>
          <t>ЗИФ-2</t>
        </is>
      </c>
      <c r="C242" t="inlineStr">
        <is>
          <t>Шкаф ввода-вывода</t>
        </is>
      </c>
      <c r="D242" t="inlineStr">
        <is>
          <t>994CS110A01</t>
        </is>
      </c>
      <c r="E242" t="inlineStr">
        <is>
          <t>ПЛК АСУТП измельчение</t>
        </is>
      </c>
      <c r="F242" t="inlineStr">
        <is>
          <t>Продуть от пыли</t>
        </is>
      </c>
      <c r="G242" t="n">
        <v>62</v>
      </c>
      <c r="H242" t="n">
        <v>3</v>
      </c>
      <c r="I242" s="22" t="n">
        <v>45976</v>
      </c>
      <c r="J242" s="22">
        <f>I242+G242</f>
        <v/>
      </c>
      <c r="K242">
        <f>IF(J242&lt;=TODAY(),"ОБСЛУЖИТЬ",IF(J242-TODAY()&lt;=H242,"Внимание","Не требуется"))</f>
        <v/>
      </c>
    </row>
    <row r="243">
      <c r="A243" t="n">
        <v>239</v>
      </c>
      <c r="B243" t="inlineStr">
        <is>
          <t>ЗИФ-2</t>
        </is>
      </c>
      <c r="C243" t="inlineStr">
        <is>
          <t>Шкаф ПЛК</t>
        </is>
      </c>
      <c r="D243" t="inlineStr">
        <is>
          <t>995CS100A01</t>
        </is>
      </c>
      <c r="E243" t="inlineStr">
        <is>
          <t>ПЛК АСУТП измельчение</t>
        </is>
      </c>
      <c r="F243" t="inlineStr">
        <is>
          <t>Продуть от пыли</t>
        </is>
      </c>
      <c r="G243" t="n">
        <v>62</v>
      </c>
      <c r="H243" t="n">
        <v>3</v>
      </c>
      <c r="I243" s="22" t="n">
        <v>45976</v>
      </c>
      <c r="J243" s="22">
        <f>I243+G243</f>
        <v/>
      </c>
      <c r="K243">
        <f>IF(J243&lt;=TODAY(),"ОБСЛУЖИТЬ",IF(J243-TODAY()&lt;=H243,"Внимание","Не требуется"))</f>
        <v/>
      </c>
    </row>
    <row r="244">
      <c r="A244" t="n">
        <v>240</v>
      </c>
      <c r="B244" t="inlineStr">
        <is>
          <t>ЗИФ-2</t>
        </is>
      </c>
      <c r="C244" t="inlineStr">
        <is>
          <t>Шкаф ввода-вывода</t>
        </is>
      </c>
      <c r="D244" t="inlineStr">
        <is>
          <t>995CS100A02</t>
        </is>
      </c>
      <c r="E244" t="inlineStr">
        <is>
          <t>ПЛК АСУТП измельчение</t>
        </is>
      </c>
      <c r="F244" t="inlineStr">
        <is>
          <t>Продуть от пыли</t>
        </is>
      </c>
      <c r="G244" t="n">
        <v>62</v>
      </c>
      <c r="H244" t="n">
        <v>3</v>
      </c>
      <c r="I244" s="22" t="n">
        <v>45976</v>
      </c>
      <c r="J244" s="22">
        <f>I244+G244</f>
        <v/>
      </c>
      <c r="K244">
        <f>IF(J244&lt;=TODAY(),"ОБСЛУЖИТЬ",IF(J244-TODAY()&lt;=H244,"Внимание","Не требуется"))</f>
        <v/>
      </c>
    </row>
    <row r="245">
      <c r="A245" t="n">
        <v>241</v>
      </c>
      <c r="B245" t="inlineStr">
        <is>
          <t>ЗИФ-2</t>
        </is>
      </c>
      <c r="C245" t="inlineStr">
        <is>
          <t>Шкаф ввода-вывода</t>
        </is>
      </c>
      <c r="D245" t="inlineStr">
        <is>
          <t>995CS100A03</t>
        </is>
      </c>
      <c r="E245" t="inlineStr">
        <is>
          <t>ПЛК АСУТП измельчение</t>
        </is>
      </c>
      <c r="F245" t="inlineStr">
        <is>
          <t>Продуть от пыли</t>
        </is>
      </c>
      <c r="G245" t="n">
        <v>62</v>
      </c>
      <c r="H245" t="n">
        <v>3</v>
      </c>
      <c r="I245" s="22" t="n">
        <v>45976</v>
      </c>
      <c r="J245" s="22">
        <f>I245+G245</f>
        <v/>
      </c>
      <c r="K245">
        <f>IF(J245&lt;=TODAY(),"ОБСЛУЖИТЬ",IF(J245-TODAY()&lt;=H245,"Внимание","Не требуется"))</f>
        <v/>
      </c>
    </row>
    <row r="246">
      <c r="A246" t="n">
        <v>242</v>
      </c>
      <c r="B246" t="inlineStr">
        <is>
          <t>ЗИФ-2</t>
        </is>
      </c>
      <c r="C246" t="inlineStr">
        <is>
          <t>Шкаф ПЛК</t>
        </is>
      </c>
      <c r="D246" t="inlineStr">
        <is>
          <t>996CS100A01</t>
        </is>
      </c>
      <c r="E246" t="inlineStr">
        <is>
          <t>ПЛК АСУТП измельчение</t>
        </is>
      </c>
      <c r="F246" t="inlineStr">
        <is>
          <t>Продуть от пыли</t>
        </is>
      </c>
      <c r="G246" t="n">
        <v>62</v>
      </c>
      <c r="H246" t="n">
        <v>3</v>
      </c>
      <c r="I246" s="22" t="n">
        <v>45976</v>
      </c>
      <c r="J246" s="22">
        <f>I246+G246</f>
        <v/>
      </c>
      <c r="K246">
        <f>IF(J246&lt;=TODAY(),"ОБСЛУЖИТЬ",IF(J246-TODAY()&lt;=H246,"Внимание","Не требуется"))</f>
        <v/>
      </c>
    </row>
    <row r="247">
      <c r="A247" t="n">
        <v>243</v>
      </c>
      <c r="B247" t="inlineStr">
        <is>
          <t>ЗИФ-2</t>
        </is>
      </c>
      <c r="C247" t="inlineStr">
        <is>
          <t>Шкаф ввода-вывода</t>
        </is>
      </c>
      <c r="D247" t="inlineStr">
        <is>
          <t>996CS100A02</t>
        </is>
      </c>
      <c r="E247" t="inlineStr">
        <is>
          <t>ПЛК АСУТП измельчение</t>
        </is>
      </c>
      <c r="F247" t="inlineStr">
        <is>
          <t>Продуть от пыли</t>
        </is>
      </c>
      <c r="G247" t="n">
        <v>62</v>
      </c>
      <c r="H247" t="n">
        <v>3</v>
      </c>
      <c r="I247" s="22" t="n">
        <v>45976</v>
      </c>
      <c r="J247" s="22">
        <f>I247+G247</f>
        <v/>
      </c>
      <c r="K247">
        <f>IF(J247&lt;=TODAY(),"ОБСЛУЖИТЬ",IF(J247-TODAY()&lt;=H247,"Внимание","Не требуется"))</f>
        <v/>
      </c>
    </row>
    <row r="248">
      <c r="A248" t="n">
        <v>244</v>
      </c>
      <c r="B248" t="inlineStr">
        <is>
          <t>ЗИФ-2</t>
        </is>
      </c>
      <c r="C248" t="inlineStr">
        <is>
          <t>Шкаф ПЛК Шародозатор МПСИ</t>
        </is>
      </c>
      <c r="D248" t="inlineStr">
        <is>
          <t>LCP Autocharge 301S</t>
        </is>
      </c>
      <c r="E248" t="inlineStr">
        <is>
          <t>Измельчение МПСИ</t>
        </is>
      </c>
      <c r="F248" t="inlineStr">
        <is>
          <t>Визуальный осмотр, продуть от пыли</t>
        </is>
      </c>
      <c r="G248" t="n">
        <v>90</v>
      </c>
      <c r="H248" t="n">
        <v>3</v>
      </c>
      <c r="I248" s="22" t="n">
        <v>45956</v>
      </c>
      <c r="J248" s="22">
        <f>I248+G248</f>
        <v/>
      </c>
      <c r="K248">
        <f>IF(J248&lt;=TODAY(),"ОБСЛУЖИТЬ",IF(J248-TODAY()&lt;=H248,"Внимание","Не требуется"))</f>
        <v/>
      </c>
    </row>
    <row r="249">
      <c r="A249" t="n">
        <v>245</v>
      </c>
      <c r="B249" t="inlineStr">
        <is>
          <t>ЗИФ-2</t>
        </is>
      </c>
      <c r="C249" t="inlineStr">
        <is>
          <t>Шкаф ПЛК Шародозатор МШЦ-1</t>
        </is>
      </c>
      <c r="D249" t="inlineStr">
        <is>
          <t>LCP Autocharge 301S</t>
        </is>
      </c>
      <c r="E249" t="inlineStr">
        <is>
          <t>Измельчение МШЦ1</t>
        </is>
      </c>
      <c r="F249" t="inlineStr">
        <is>
          <t>Визуальный осмотр, продуть от пыли</t>
        </is>
      </c>
      <c r="G249" t="n">
        <v>90</v>
      </c>
      <c r="H249" t="n">
        <v>3</v>
      </c>
      <c r="I249" s="22" t="n">
        <v>45956</v>
      </c>
      <c r="J249" s="22">
        <f>I249+G249</f>
        <v/>
      </c>
      <c r="K249">
        <f>IF(J249&lt;=TODAY(),"ОБСЛУЖИТЬ",IF(J249-TODAY()&lt;=H249,"Внимание","Не требуется"))</f>
        <v/>
      </c>
    </row>
    <row r="250">
      <c r="A250" t="n">
        <v>246</v>
      </c>
      <c r="B250" t="inlineStr">
        <is>
          <t>ЗИФ-2</t>
        </is>
      </c>
      <c r="C250" t="inlineStr">
        <is>
          <t>Шкаф ПЛК Шародозатор МШЦ-2</t>
        </is>
      </c>
      <c r="D250" t="inlineStr">
        <is>
          <t>LCP Autocharge 301S</t>
        </is>
      </c>
      <c r="E250" t="inlineStr">
        <is>
          <t>Измельчение МШЦ2</t>
        </is>
      </c>
      <c r="F250" t="inlineStr">
        <is>
          <t>Визуальный осмотр, продуть от пыли</t>
        </is>
      </c>
      <c r="G250" t="n">
        <v>90</v>
      </c>
      <c r="H250" t="n">
        <v>3</v>
      </c>
      <c r="I250" s="22" t="n">
        <v>45956</v>
      </c>
      <c r="J250" s="22">
        <f>I250+G250</f>
        <v/>
      </c>
      <c r="K250">
        <f>IF(J250&lt;=TODAY(),"ОБСЛУЖИТЬ",IF(J250-TODAY()&lt;=H250,"Внимание","Не требуется"))</f>
        <v/>
      </c>
    </row>
    <row r="251">
      <c r="A251" t="n">
        <v>247</v>
      </c>
      <c r="B251" t="inlineStr">
        <is>
          <t>ЗИФ-2</t>
        </is>
      </c>
      <c r="C251" t="inlineStr">
        <is>
          <t>Шкаф ПЛК ЖПР МПСИ</t>
        </is>
      </c>
      <c r="D251" t="inlineStr">
        <is>
          <t>ШУ ЖПР МПСИ</t>
        </is>
      </c>
      <c r="E251" t="inlineStr">
        <is>
          <t>ПСУ-2</t>
        </is>
      </c>
      <c r="F251" t="inlineStr">
        <is>
          <t>Визуальный осмотр, продуть от пыли</t>
        </is>
      </c>
      <c r="G251" t="n">
        <v>90</v>
      </c>
      <c r="H251" t="n">
        <v>3</v>
      </c>
      <c r="I251" s="22" t="n">
        <v>45967</v>
      </c>
      <c r="J251" s="22">
        <f>I251+G251</f>
        <v/>
      </c>
      <c r="K251">
        <f>IF(J251&lt;=TODAY(),"ОБСЛУЖИТЬ",IF(J251-TODAY()&lt;=H251,"Внимание","Не требуется"))</f>
        <v/>
      </c>
    </row>
    <row r="252">
      <c r="A252" t="n">
        <v>248</v>
      </c>
      <c r="B252" t="inlineStr">
        <is>
          <t>ЗИФ-2</t>
        </is>
      </c>
      <c r="C252" t="inlineStr">
        <is>
          <t>Шкаф ПЛК ЖПР МШЦ-1</t>
        </is>
      </c>
      <c r="D252" t="inlineStr">
        <is>
          <t>ШУ ЖПР МШЦ-1</t>
        </is>
      </c>
      <c r="E252" t="inlineStr">
        <is>
          <t>РУПМ</t>
        </is>
      </c>
      <c r="F252" t="inlineStr">
        <is>
          <t>Визуальный осмотр, продуть от пыли</t>
        </is>
      </c>
      <c r="G252" t="n">
        <v>90</v>
      </c>
      <c r="H252" t="n">
        <v>3</v>
      </c>
      <c r="I252" s="22" t="n">
        <v>45967</v>
      </c>
      <c r="J252" s="22">
        <f>I252+G252</f>
        <v/>
      </c>
      <c r="K252">
        <f>IF(J252&lt;=TODAY(),"ОБСЛУЖИТЬ",IF(J252-TODAY()&lt;=H252,"Внимание","Не требуется"))</f>
        <v/>
      </c>
    </row>
    <row r="253">
      <c r="A253" t="n">
        <v>249</v>
      </c>
      <c r="B253" t="inlineStr">
        <is>
          <t>ЗИФ-2</t>
        </is>
      </c>
      <c r="C253" t="inlineStr">
        <is>
          <t>Шкаф ПЛК ЖПР МШЦ-2</t>
        </is>
      </c>
      <c r="D253" t="inlineStr">
        <is>
          <t>ШУ ЖПР МШЦ-2</t>
        </is>
      </c>
      <c r="E253" t="inlineStr">
        <is>
          <t>РУПМ</t>
        </is>
      </c>
      <c r="F253" t="inlineStr">
        <is>
          <t>Визуальный осмотр, продуть от пыли</t>
        </is>
      </c>
      <c r="G253" t="n">
        <v>90</v>
      </c>
      <c r="H253" t="n">
        <v>3</v>
      </c>
      <c r="I253" s="22" t="n">
        <v>45967</v>
      </c>
      <c r="J253" s="22">
        <f>I253+G253</f>
        <v/>
      </c>
      <c r="K253">
        <f>IF(J253&lt;=TODAY(),"ОБСЛУЖИТЬ",IF(J253-TODAY()&lt;=H253,"Внимание","Не требуется"))</f>
        <v/>
      </c>
    </row>
    <row r="254">
      <c r="A254" t="n">
        <v>250</v>
      </c>
      <c r="B254" t="inlineStr">
        <is>
          <t>ЗИФ-2</t>
        </is>
      </c>
      <c r="C254" t="inlineStr">
        <is>
          <t>Панель HMI</t>
        </is>
      </c>
      <c r="D254" t="inlineStr">
        <is>
          <t>HMI_Grinding</t>
        </is>
      </c>
      <c r="E254" t="inlineStr">
        <is>
          <t>Будка, Измельчение ЗИФ</t>
        </is>
      </c>
      <c r="F254" t="inlineStr">
        <is>
          <t>Визуальный осмотр, продуть от пыли, протереть</t>
        </is>
      </c>
      <c r="G254" t="n">
        <v>90</v>
      </c>
      <c r="H254" t="n">
        <v>3</v>
      </c>
      <c r="I254" s="22" t="n">
        <v>45977</v>
      </c>
      <c r="J254" s="22">
        <f>I254+G254</f>
        <v/>
      </c>
      <c r="K254">
        <f>IF(J254&lt;=TODAY(),"ОБСЛУЖИТЬ",IF(J254-TODAY()&lt;=H254,"Внимание","Не требуется"))</f>
        <v/>
      </c>
    </row>
    <row r="255">
      <c r="A255" t="n">
        <v>251</v>
      </c>
      <c r="B255" t="inlineStr">
        <is>
          <t>ЗИФ-2</t>
        </is>
      </c>
      <c r="C255" t="inlineStr">
        <is>
          <t>Шкаф ПЛК Acacia</t>
        </is>
      </c>
      <c r="D255" t="inlineStr">
        <is>
          <t>LCPx02 - 200</t>
        </is>
      </c>
      <c r="E255" t="inlineStr">
        <is>
          <t>Категория ЗИФ-2, Акация 1</t>
        </is>
      </c>
      <c r="F255" t="inlineStr">
        <is>
          <t>Визуальный осмотр, продуть от пыли</t>
        </is>
      </c>
      <c r="G255" t="n">
        <v>31</v>
      </c>
      <c r="H255" t="n">
        <v>3</v>
      </c>
      <c r="I255" s="22" t="n">
        <v>46011</v>
      </c>
      <c r="J255" s="22">
        <f>I255+G255</f>
        <v/>
      </c>
      <c r="K255">
        <f>IF(J255&lt;=TODAY(),"ОБСЛУЖИТЬ",IF(J255-TODAY()&lt;=H255,"Внимание","Не требуется"))</f>
        <v/>
      </c>
    </row>
    <row r="256">
      <c r="A256" t="n">
        <v>252</v>
      </c>
      <c r="B256" t="inlineStr">
        <is>
          <t>ЗИФ-2</t>
        </is>
      </c>
      <c r="C256" t="inlineStr">
        <is>
          <t>Шкаф ПЛК Acacia</t>
        </is>
      </c>
      <c r="D256" t="inlineStr">
        <is>
          <t>LCPx02 - 210</t>
        </is>
      </c>
      <c r="E256" t="inlineStr">
        <is>
          <t>Категория ЗИФ-2, Акация 2</t>
        </is>
      </c>
      <c r="F256" t="inlineStr">
        <is>
          <t>Визуальный осмотр, продуть от пыли</t>
        </is>
      </c>
      <c r="G256" t="n">
        <v>31</v>
      </c>
      <c r="H256" t="n">
        <v>3</v>
      </c>
      <c r="I256" s="22" t="n">
        <v>46011</v>
      </c>
      <c r="J256" s="22">
        <f>I256+G256</f>
        <v/>
      </c>
      <c r="K256">
        <f>IF(J256&lt;=TODAY(),"ОБСЛУЖИТЬ",IF(J256-TODAY()&lt;=H256,"Внимание","Не требуется"))</f>
        <v/>
      </c>
    </row>
    <row r="257">
      <c r="A257" t="n">
        <v>253</v>
      </c>
      <c r="B257" t="inlineStr">
        <is>
          <t>ЗИФ-2</t>
        </is>
      </c>
      <c r="C257" t="inlineStr">
        <is>
          <t>Шкаф ПЛК Acacia</t>
        </is>
      </c>
      <c r="D257" t="inlineStr">
        <is>
          <t>LCPx02 - 220</t>
        </is>
      </c>
      <c r="E257" t="inlineStr">
        <is>
          <t>Категория ЗИФ-2, Акация 3</t>
        </is>
      </c>
      <c r="F257" t="inlineStr">
        <is>
          <t>Визуальный осмотр, продуть от пыли</t>
        </is>
      </c>
      <c r="G257" t="n">
        <v>31</v>
      </c>
      <c r="H257" t="n">
        <v>3</v>
      </c>
      <c r="I257" s="22" t="n">
        <v>46011</v>
      </c>
      <c r="J257" s="22">
        <f>I257+G257</f>
        <v/>
      </c>
      <c r="K257">
        <f>IF(J257&lt;=TODAY(),"ОБСЛУЖИТЬ",IF(J257-TODAY()&lt;=H257,"Внимание","Не требуется"))</f>
        <v/>
      </c>
    </row>
    <row r="258">
      <c r="A258" t="n">
        <v>254</v>
      </c>
      <c r="B258" t="inlineStr">
        <is>
          <t>ЗИФ-2</t>
        </is>
      </c>
      <c r="C258" t="inlineStr">
        <is>
          <t>Шкаф Фильтра АКВАФЛОУ</t>
        </is>
      </c>
      <c r="D258" t="inlineStr">
        <is>
          <t>АКВАФЛОУ</t>
        </is>
      </c>
      <c r="E258" t="inlineStr">
        <is>
          <t>Сорбция</t>
        </is>
      </c>
      <c r="F258" t="inlineStr">
        <is>
          <t>Визуальный осмотр, продуть от пыли</t>
        </is>
      </c>
      <c r="G258" t="n">
        <v>60</v>
      </c>
      <c r="H258" t="n">
        <v>3</v>
      </c>
      <c r="I258" s="22" t="n">
        <v>45981</v>
      </c>
      <c r="J258" s="22">
        <f>I258+G258</f>
        <v/>
      </c>
      <c r="K258">
        <f>IF(J258&lt;=TODAY(),"ОБСЛУЖИТЬ",IF(J258-TODAY()&lt;=H258,"Внимание","Не требуется"))</f>
        <v/>
      </c>
    </row>
    <row r="259">
      <c r="A259" t="n">
        <v>255</v>
      </c>
      <c r="B259" t="inlineStr">
        <is>
          <t>ЗИФ-2</t>
        </is>
      </c>
      <c r="C259" t="inlineStr">
        <is>
          <t>Шкаф ввода-вывода</t>
        </is>
      </c>
      <c r="D259" t="inlineStr">
        <is>
          <t>997CS110A01</t>
        </is>
      </c>
      <c r="E259" t="inlineStr">
        <is>
          <t>ПСУ ККД-2</t>
        </is>
      </c>
      <c r="F259" t="inlineStr">
        <is>
          <t>Визуальный осмотр, продуть от пыли</t>
        </is>
      </c>
      <c r="G259" t="n">
        <v>31</v>
      </c>
      <c r="H259" t="n">
        <v>3</v>
      </c>
      <c r="I259" s="22" t="n">
        <v>45995</v>
      </c>
      <c r="J259" s="22">
        <f>I259+G259</f>
        <v/>
      </c>
      <c r="K259">
        <f>IF(J259&lt;=TODAY(),"ОБСЛУЖИТЬ",IF(J259-TODAY()&lt;=H259,"Внимание","Не требуется"))</f>
        <v/>
      </c>
    </row>
    <row r="260">
      <c r="A260" t="n">
        <v>256</v>
      </c>
      <c r="B260" t="inlineStr">
        <is>
          <t>ККД-1</t>
        </is>
      </c>
      <c r="C260" t="inlineStr">
        <is>
          <t>Шкаф ПЛК</t>
        </is>
      </c>
      <c r="D260" t="inlineStr">
        <is>
          <t>991CS110A01</t>
        </is>
      </c>
      <c r="E260" t="inlineStr">
        <is>
          <t>ККД-1</t>
        </is>
      </c>
      <c r="F260" t="inlineStr">
        <is>
          <t>Визуальный осмотр, продуть от пыли</t>
        </is>
      </c>
      <c r="G260" t="n">
        <v>31</v>
      </c>
      <c r="H260" t="n">
        <v>3</v>
      </c>
      <c r="I260" s="25" t="n">
        <v>46031.26470364584</v>
      </c>
      <c r="J260" s="22">
        <f>I260+G260</f>
        <v/>
      </c>
      <c r="K260">
        <f>IF(J260&lt;=TODAY(),"ОБСЛУЖИТЬ",IF(J260-TODAY()&lt;=H260,"Внимание","Не требуется"))</f>
        <v/>
      </c>
    </row>
    <row r="261">
      <c r="A261" t="n">
        <v>257</v>
      </c>
      <c r="B261" t="inlineStr">
        <is>
          <t>ККД-2</t>
        </is>
      </c>
      <c r="C261" t="inlineStr">
        <is>
          <t>Шкаф ПЛК ККД-2 Metso</t>
        </is>
      </c>
      <c r="D261" t="inlineStr">
        <is>
          <t>997 Metso</t>
        </is>
      </c>
      <c r="E261" t="inlineStr">
        <is>
          <t>ККД-2, эл. помещение Metso</t>
        </is>
      </c>
      <c r="F261" t="inlineStr">
        <is>
          <t>Визуальный осмотр, продуть от пыли</t>
        </is>
      </c>
      <c r="G261" t="n">
        <v>31</v>
      </c>
      <c r="H261" t="n">
        <v>3</v>
      </c>
      <c r="I261" s="22" t="n">
        <v>45995</v>
      </c>
      <c r="J261" s="22">
        <f>I261+G261</f>
        <v/>
      </c>
      <c r="K261">
        <f>IF(J261&lt;=TODAY(),"ОБСЛУЖИТЬ",IF(J261-TODAY()&lt;=H261,"Внимание","Не требуется"))</f>
        <v/>
      </c>
    </row>
    <row r="262">
      <c r="A262" t="n">
        <v>258</v>
      </c>
      <c r="B262" t="inlineStr">
        <is>
          <t>Котельная</t>
        </is>
      </c>
      <c r="C262" t="inlineStr">
        <is>
          <t>Шкаф ПЛК Котельной ПП</t>
        </is>
      </c>
      <c r="D262" t="inlineStr">
        <is>
          <t>ЩУК-1 КВм-3.5 КБ</t>
        </is>
      </c>
      <c r="E262" t="inlineStr">
        <is>
          <t>Котельная Пром. площадки</t>
        </is>
      </c>
      <c r="F262" t="inlineStr">
        <is>
          <t>Визуальный осмотр, продуть от пыли</t>
        </is>
      </c>
      <c r="G262" t="n">
        <v>60</v>
      </c>
      <c r="H262" t="n">
        <v>3</v>
      </c>
      <c r="I262" s="22" t="n">
        <v>45963</v>
      </c>
      <c r="J262" s="22">
        <f>I262+G262</f>
        <v/>
      </c>
      <c r="K262">
        <f>IF(J262&lt;=TODAY(),"ОБСЛУЖИТЬ",IF(J262-TODAY()&lt;=H262,"Внимание","Не требуется"))</f>
        <v/>
      </c>
    </row>
    <row r="263">
      <c r="A263" t="n">
        <v>259</v>
      </c>
      <c r="B263" t="inlineStr">
        <is>
          <t>Котельная</t>
        </is>
      </c>
      <c r="C263" t="inlineStr">
        <is>
          <t>Шкаф ПЛК Котельной ПП</t>
        </is>
      </c>
      <c r="D263" t="inlineStr">
        <is>
          <t>ЩУК-2 КВм-3.5 КБ</t>
        </is>
      </c>
      <c r="E263" t="inlineStr">
        <is>
          <t>Котельная Пром. площадки</t>
        </is>
      </c>
      <c r="F263" t="inlineStr">
        <is>
          <t>Визуальный осмотр, продуть от пыли</t>
        </is>
      </c>
      <c r="G263" t="n">
        <v>60</v>
      </c>
      <c r="H263" t="n">
        <v>3</v>
      </c>
      <c r="I263" s="22" t="n">
        <v>45963</v>
      </c>
      <c r="J263" s="22">
        <f>I263+G263</f>
        <v/>
      </c>
      <c r="K263">
        <f>IF(J263&lt;=TODAY(),"ОБСЛУЖИТЬ",IF(J263-TODAY()&lt;=H263,"Внимание","Не требуется"))</f>
        <v/>
      </c>
    </row>
    <row r="264">
      <c r="A264" t="n">
        <v>260</v>
      </c>
      <c r="B264" t="inlineStr">
        <is>
          <t>Котельная</t>
        </is>
      </c>
      <c r="C264" t="inlineStr">
        <is>
          <t>Шкаф ПЛК Котельной ПП</t>
        </is>
      </c>
      <c r="D264" t="inlineStr">
        <is>
          <t>ЩУК-3 КВм-3.5 КБ</t>
        </is>
      </c>
      <c r="E264" t="inlineStr">
        <is>
          <t>Котельная Пром. площадки</t>
        </is>
      </c>
      <c r="F264" t="inlineStr">
        <is>
          <t>Визуальный осмотр, продуть от пыли</t>
        </is>
      </c>
      <c r="G264" t="n">
        <v>60</v>
      </c>
      <c r="H264" t="n">
        <v>3</v>
      </c>
      <c r="I264" s="22" t="n">
        <v>45963</v>
      </c>
      <c r="J264" s="22">
        <f>I264+G264</f>
        <v/>
      </c>
      <c r="K264">
        <f>IF(J264&lt;=TODAY(),"ОБСЛУЖИТЬ",IF(J264-TODAY()&lt;=H264,"Внимание","Не требуется"))</f>
        <v/>
      </c>
    </row>
    <row r="265">
      <c r="A265" t="n">
        <v>261</v>
      </c>
      <c r="B265" t="inlineStr">
        <is>
          <t>Котельная</t>
        </is>
      </c>
      <c r="C265" t="inlineStr">
        <is>
          <t>Шкаф ПЛК Котельной ПП</t>
        </is>
      </c>
      <c r="D265" t="inlineStr">
        <is>
          <t>ЩУК-4 КВм-3.5 КБ</t>
        </is>
      </c>
      <c r="E265" t="inlineStr">
        <is>
          <t>Котельная Пром. площадки</t>
        </is>
      </c>
      <c r="F265" t="inlineStr">
        <is>
          <t>Визуальный осмотр, продуть от пыли</t>
        </is>
      </c>
      <c r="G265" t="n">
        <v>60</v>
      </c>
      <c r="H265" t="n">
        <v>3</v>
      </c>
      <c r="I265" s="22" t="n">
        <v>45963</v>
      </c>
      <c r="J265" s="22">
        <f>I265+G265</f>
        <v/>
      </c>
      <c r="K265">
        <f>IF(J265&lt;=TODAY(),"ОБСЛУЖИТЬ",IF(J265-TODAY()&lt;=H265,"Внимание","Не требуется"))</f>
        <v/>
      </c>
    </row>
    <row r="266">
      <c r="A266" t="n">
        <v>262</v>
      </c>
      <c r="B266" t="inlineStr">
        <is>
          <t>Котельная</t>
        </is>
      </c>
      <c r="C266" t="inlineStr">
        <is>
          <t>Шкаф ПЛК Котельной ПП</t>
        </is>
      </c>
      <c r="D266" t="inlineStr">
        <is>
          <t>ЩУК-5 КВм-3.5 КБ</t>
        </is>
      </c>
      <c r="E266" t="inlineStr">
        <is>
          <t>Котельная Пром. площадки</t>
        </is>
      </c>
      <c r="F266" t="inlineStr">
        <is>
          <t>Визуальный осмотр, продуть от пыли</t>
        </is>
      </c>
      <c r="G266" t="n">
        <v>60</v>
      </c>
      <c r="H266" t="n">
        <v>3</v>
      </c>
      <c r="I266" s="22" t="n">
        <v>45963</v>
      </c>
      <c r="J266" s="22">
        <f>I266+G266</f>
        <v/>
      </c>
      <c r="K266">
        <f>IF(J266&lt;=TODAY(),"ОБСЛУЖИТЬ",IF(J266-TODAY()&lt;=H266,"Внимание","Не требуется"))</f>
        <v/>
      </c>
    </row>
    <row r="267">
      <c r="A267" t="n">
        <v>263</v>
      </c>
      <c r="B267" t="inlineStr">
        <is>
          <t>Котельная</t>
        </is>
      </c>
      <c r="C267" t="inlineStr">
        <is>
          <t>Шкаф ПЛК Котельной ПП</t>
        </is>
      </c>
      <c r="D267" t="inlineStr">
        <is>
          <t>ЩУК-6 КВм-3.5 КБ</t>
        </is>
      </c>
      <c r="E267" t="inlineStr">
        <is>
          <t>Котельная Пром. площадки</t>
        </is>
      </c>
      <c r="F267" t="inlineStr">
        <is>
          <t>Визуальный осмотр, продуть от пыли</t>
        </is>
      </c>
      <c r="G267" t="n">
        <v>60</v>
      </c>
      <c r="H267" t="n">
        <v>3</v>
      </c>
      <c r="I267" s="22" t="n">
        <v>45963</v>
      </c>
      <c r="J267" s="22">
        <f>I267+G267</f>
        <v/>
      </c>
      <c r="K267">
        <f>IF(J267&lt;=TODAY(),"ОБСЛУЖИТЬ",IF(J267-TODAY()&lt;=H267,"Внимание","Не требуется"))</f>
        <v/>
      </c>
    </row>
    <row r="268">
      <c r="A268" t="n">
        <v>264</v>
      </c>
      <c r="B268" t="inlineStr">
        <is>
          <t>Котельная</t>
        </is>
      </c>
      <c r="C268" t="inlineStr">
        <is>
          <t>Шкаф ПЛК Котельной ПП</t>
        </is>
      </c>
      <c r="D268" t="inlineStr">
        <is>
          <t>ЩУК-7 КВм-3.5 КБ</t>
        </is>
      </c>
      <c r="E268" t="inlineStr">
        <is>
          <t>Котельная Пром. площадки</t>
        </is>
      </c>
      <c r="F268" t="inlineStr">
        <is>
          <t>Визуальный осмотр, продуть от пыли</t>
        </is>
      </c>
      <c r="G268" t="n">
        <v>60</v>
      </c>
      <c r="H268" t="n">
        <v>3</v>
      </c>
      <c r="I268" s="22" t="n">
        <v>45963</v>
      </c>
      <c r="J268" s="22">
        <f>I268+G268</f>
        <v/>
      </c>
      <c r="K268">
        <f>IF(J268&lt;=TODAY(),"ОБСЛУЖИТЬ",IF(J268-TODAY()&lt;=H268,"Внимание","Не требуется"))</f>
        <v/>
      </c>
    </row>
    <row r="269">
      <c r="A269" t="n">
        <v>265</v>
      </c>
      <c r="B269" t="inlineStr">
        <is>
          <t>Котельная</t>
        </is>
      </c>
      <c r="C269" t="inlineStr">
        <is>
          <t>Шкаф ПЛК Котельной ПП</t>
        </is>
      </c>
      <c r="D269" t="inlineStr">
        <is>
          <t>ЩУК-8 А9.06.01.04</t>
        </is>
      </c>
      <c r="E269" t="inlineStr">
        <is>
          <t>Котельная Пром. площадки</t>
        </is>
      </c>
      <c r="F269" t="inlineStr">
        <is>
          <t>Визуальный осмотр, продуть от пыли</t>
        </is>
      </c>
      <c r="G269" t="n">
        <v>60</v>
      </c>
      <c r="H269" t="n">
        <v>3</v>
      </c>
      <c r="I269" s="22" t="n">
        <v>45963</v>
      </c>
      <c r="J269" s="22">
        <f>I269+G269</f>
        <v/>
      </c>
      <c r="K269">
        <f>IF(J269&lt;=TODAY(),"ОБСЛУЖИТЬ",IF(J269-TODAY()&lt;=H269,"Внимание","Не требуется"))</f>
        <v/>
      </c>
    </row>
    <row r="270">
      <c r="A270" t="n">
        <v>266</v>
      </c>
      <c r="B270" t="inlineStr">
        <is>
          <t>Котельная</t>
        </is>
      </c>
      <c r="C270" t="inlineStr">
        <is>
          <t>Шкаф ПЛК Котельной ПП</t>
        </is>
      </c>
      <c r="D270" t="inlineStr">
        <is>
          <t>ЩУК-9 А9.06.01.04</t>
        </is>
      </c>
      <c r="E270" t="inlineStr">
        <is>
          <t>Котельная Пром. площадки</t>
        </is>
      </c>
      <c r="F270" t="inlineStr">
        <is>
          <t>Визуальный осмотр, продуть от пыли</t>
        </is>
      </c>
      <c r="G270" t="n">
        <v>60</v>
      </c>
      <c r="H270" t="n">
        <v>3</v>
      </c>
      <c r="I270" s="22" t="n">
        <v>45963</v>
      </c>
      <c r="J270" s="22">
        <f>I270+G270</f>
        <v/>
      </c>
      <c r="K270">
        <f>IF(J270&lt;=TODAY(),"ОБСЛУЖИТЬ",IF(J270-TODAY()&lt;=H270,"Внимание","Не требуется"))</f>
        <v/>
      </c>
    </row>
    <row r="271">
      <c r="A271" t="n">
        <v>267</v>
      </c>
      <c r="B271" t="inlineStr">
        <is>
          <t>Котельная</t>
        </is>
      </c>
      <c r="C271" t="inlineStr">
        <is>
          <t>Шкаф ПЛК Котельной ПП</t>
        </is>
      </c>
      <c r="D271" t="inlineStr">
        <is>
          <t>ЩУК-10 А9.06.01.04</t>
        </is>
      </c>
      <c r="E271" t="inlineStr">
        <is>
          <t>Котельная Пром. площадки</t>
        </is>
      </c>
      <c r="F271" t="inlineStr">
        <is>
          <t>Визуальный осмотр, продуть от пыли</t>
        </is>
      </c>
      <c r="G271" t="n">
        <v>60</v>
      </c>
      <c r="H271" t="n">
        <v>3</v>
      </c>
      <c r="I271" s="22" t="n">
        <v>45963</v>
      </c>
      <c r="J271" s="22">
        <f>I271+G271</f>
        <v/>
      </c>
      <c r="K271">
        <f>IF(J271&lt;=TODAY(),"ОБСЛУЖИТЬ",IF(J271-TODAY()&lt;=H271,"Внимание","Не требуется"))</f>
        <v/>
      </c>
    </row>
    <row r="272">
      <c r="A272" t="n">
        <v>268</v>
      </c>
      <c r="B272" t="inlineStr">
        <is>
          <t>Котельная</t>
        </is>
      </c>
      <c r="C272" t="inlineStr">
        <is>
          <t>Шкаф ПЛК Котельной ПП</t>
        </is>
      </c>
      <c r="D272" t="inlineStr">
        <is>
          <t>ЩУК-11 А9.06.01.04</t>
        </is>
      </c>
      <c r="E272" t="inlineStr">
        <is>
          <t>Котельная Пром. площадки</t>
        </is>
      </c>
      <c r="F272" t="inlineStr">
        <is>
          <t>Визуальный осмотр, продуть от пыли</t>
        </is>
      </c>
      <c r="G272" t="n">
        <v>60</v>
      </c>
      <c r="H272" t="n">
        <v>3</v>
      </c>
      <c r="I272" s="22" t="n">
        <v>45963</v>
      </c>
      <c r="J272" s="22">
        <f>I272+G272</f>
        <v/>
      </c>
      <c r="K272">
        <f>IF(J272&lt;=TODAY(),"ОБСЛУЖИТЬ",IF(J272-TODAY()&lt;=H272,"Внимание","Не требуется"))</f>
        <v/>
      </c>
    </row>
    <row r="273">
      <c r="A273" t="n">
        <v>269</v>
      </c>
      <c r="B273" t="inlineStr">
        <is>
          <t>Котельная</t>
        </is>
      </c>
      <c r="C273" t="inlineStr">
        <is>
          <t>Шкаф ПЛК Котельной ПП</t>
        </is>
      </c>
      <c r="D273" t="inlineStr">
        <is>
          <t>ЩВО 1кВт</t>
        </is>
      </c>
      <c r="E273" t="inlineStr">
        <is>
          <t>Котельная Пром. площадки</t>
        </is>
      </c>
      <c r="F273" t="inlineStr">
        <is>
          <t>Визуальный осмотр, продуть от пыли</t>
        </is>
      </c>
      <c r="G273" t="n">
        <v>60</v>
      </c>
      <c r="H273" t="n">
        <v>3</v>
      </c>
      <c r="I273" s="22" t="n">
        <v>45963</v>
      </c>
      <c r="J273" s="22">
        <f>I273+G273</f>
        <v/>
      </c>
      <c r="K273">
        <f>IF(J273&lt;=TODAY(),"ОБСЛУЖИТЬ",IF(J273-TODAY()&lt;=H273,"Внимание","Не требуется"))</f>
        <v/>
      </c>
    </row>
    <row r="274">
      <c r="A274" t="n">
        <v>270</v>
      </c>
      <c r="B274" t="inlineStr">
        <is>
          <t>Котельная</t>
        </is>
      </c>
      <c r="C274" t="inlineStr">
        <is>
          <t>Шкаф ПЛК Котельной ПП</t>
        </is>
      </c>
      <c r="D274" t="inlineStr">
        <is>
          <t>СЩУ 301-02-АТХ.100</t>
        </is>
      </c>
      <c r="E274" t="inlineStr">
        <is>
          <t>Котельная Пром. площадки</t>
        </is>
      </c>
      <c r="F274" t="inlineStr">
        <is>
          <t>Визуальный осмотр, продуть от пыли</t>
        </is>
      </c>
      <c r="G274" t="n">
        <v>60</v>
      </c>
      <c r="H274" t="n">
        <v>3</v>
      </c>
      <c r="I274" s="22" t="n">
        <v>45963</v>
      </c>
      <c r="J274" s="22">
        <f>I274+G274</f>
        <v/>
      </c>
      <c r="K274">
        <f>IF(J274&lt;=TODAY(),"ОБСЛУЖИТЬ",IF(J274-TODAY()&lt;=H274,"Внимание","Не требуется"))</f>
        <v/>
      </c>
    </row>
    <row r="275">
      <c r="A275" t="n">
        <v>271</v>
      </c>
      <c r="B275" t="inlineStr">
        <is>
          <t>ПНС-2</t>
        </is>
      </c>
      <c r="C275" t="inlineStr">
        <is>
          <t>Шкаф ввода-вывода</t>
        </is>
      </c>
      <c r="D275" t="inlineStr">
        <is>
          <t>991CS112A01</t>
        </is>
      </c>
      <c r="E275" t="inlineStr">
        <is>
          <t>ПНС-2</t>
        </is>
      </c>
      <c r="F275" t="inlineStr">
        <is>
          <t>Визуальный осмотр, продуть от пыли</t>
        </is>
      </c>
      <c r="G275" t="n">
        <v>180</v>
      </c>
      <c r="H275" t="n">
        <v>3</v>
      </c>
      <c r="I275" s="22" t="n">
        <v>45919</v>
      </c>
      <c r="J275" s="22">
        <f>I275+G275</f>
        <v/>
      </c>
      <c r="K275">
        <f>IF(J275&lt;=TODAY(),"ОБСЛУЖИТЬ",IF(J275-TODAY()&lt;=H275,"Внимание","Не требуется"))</f>
        <v/>
      </c>
    </row>
    <row r="276">
      <c r="A276" t="n">
        <v>272</v>
      </c>
      <c r="B276" t="inlineStr">
        <is>
          <t>ПНС-2</t>
        </is>
      </c>
      <c r="C276" t="inlineStr">
        <is>
          <t>Шкаф ввода-вывода</t>
        </is>
      </c>
      <c r="D276" t="inlineStr">
        <is>
          <t>992CS110A01</t>
        </is>
      </c>
      <c r="E276" t="inlineStr">
        <is>
          <t>ПНС-2</t>
        </is>
      </c>
      <c r="F276" t="inlineStr">
        <is>
          <t>Визуальный осмотр, продуть от пыли</t>
        </is>
      </c>
      <c r="G276" t="n">
        <v>180</v>
      </c>
      <c r="H276" t="n">
        <v>3</v>
      </c>
      <c r="I276" s="25" t="n">
        <v>45919</v>
      </c>
      <c r="J276" s="22">
        <f>I276+G276</f>
        <v/>
      </c>
      <c r="K276">
        <f>IF(J276&lt;=TODAY(),"ОБСЛУЖИТЬ",IF(J276-TODAY()&lt;=H276,"Внимание","Не требуется"))</f>
        <v/>
      </c>
    </row>
    <row r="277">
      <c r="A277" t="n">
        <v>273</v>
      </c>
      <c r="B277" t="inlineStr">
        <is>
          <t>ПНС-2.1</t>
        </is>
      </c>
      <c r="C277" t="inlineStr">
        <is>
          <t>Шкаф ПЛК</t>
        </is>
      </c>
      <c r="D277" t="inlineStr">
        <is>
          <t>996CS110A01</t>
        </is>
      </c>
      <c r="E277" t="inlineStr">
        <is>
          <t>ПНС-2.1</t>
        </is>
      </c>
      <c r="F277" t="inlineStr">
        <is>
          <t>Визуальный осмотр, продуть от пыли</t>
        </is>
      </c>
      <c r="G277" t="n">
        <v>90</v>
      </c>
      <c r="H277" t="n">
        <v>3</v>
      </c>
      <c r="I277" s="22" t="n">
        <v>46031.26355944444</v>
      </c>
      <c r="J277" s="22">
        <f>I277+G277</f>
        <v/>
      </c>
      <c r="K277">
        <f>IF(J277&lt;=TODAY(),"ОБСЛУЖИТЬ",IF(J277-TODAY()&lt;=H277,"Внимание","Не требуется"))</f>
        <v/>
      </c>
    </row>
    <row r="278">
      <c r="A278" t="n">
        <v>274</v>
      </c>
      <c r="B278" t="inlineStr">
        <is>
          <t>Промплощадка. НС2П</t>
        </is>
      </c>
      <c r="C278" t="inlineStr">
        <is>
          <t>Шкаф ПЛК</t>
        </is>
      </c>
      <c r="D278" t="inlineStr">
        <is>
          <t>Шкаф БУУ</t>
        </is>
      </c>
      <c r="E278" t="inlineStr">
        <is>
          <t>Промплощадка. Резервуары</t>
        </is>
      </c>
      <c r="F278" t="inlineStr">
        <is>
          <t>Визуальный осмотр, продуть от пыли</t>
        </is>
      </c>
      <c r="G278" t="n">
        <v>90</v>
      </c>
      <c r="H278" t="n">
        <v>3</v>
      </c>
      <c r="I278" s="22" t="n">
        <v>45970</v>
      </c>
      <c r="J278" s="22">
        <f>I278+G278</f>
        <v/>
      </c>
      <c r="K278">
        <f>IF(J278&lt;=TODAY(),"ОБСЛУЖИТЬ",IF(J278-TODAY()&lt;=H278,"Внимание","Не требуется"))</f>
        <v/>
      </c>
    </row>
    <row r="279">
      <c r="A279" t="n">
        <v>275</v>
      </c>
      <c r="B279" t="inlineStr">
        <is>
          <t>Промплощадка. НХПВ</t>
        </is>
      </c>
      <c r="C279" t="inlineStr">
        <is>
          <t xml:space="preserve">Шкаф ПЛК </t>
        </is>
      </c>
      <c r="D279" t="inlineStr">
        <is>
          <t>ШУ</t>
        </is>
      </c>
      <c r="E279" t="inlineStr">
        <is>
          <t>Промплощадка. НХПВ</t>
        </is>
      </c>
      <c r="F279" t="inlineStr">
        <is>
          <t>Визуальный осмотр, продуть от пыли</t>
        </is>
      </c>
      <c r="G279" t="n">
        <v>90</v>
      </c>
      <c r="H279" t="n">
        <v>3</v>
      </c>
      <c r="I279" s="22" t="n">
        <v>45970</v>
      </c>
      <c r="J279" s="22">
        <f>I279+G279</f>
        <v/>
      </c>
      <c r="K279">
        <f>IF(J279&lt;=TODAY(),"ОБСЛУЖИТЬ",IF(J279-TODAY()&lt;=H279,"Внимание","Не требуется"))</f>
        <v/>
      </c>
    </row>
    <row r="280" hidden="1" s="16">
      <c r="A280" t="n">
        <v>276</v>
      </c>
    </row>
    <row r="281" hidden="1" ht="15" customHeight="1" s="16">
      <c r="A281" t="n">
        <v>277</v>
      </c>
    </row>
    <row r="282" hidden="1" ht="15" customHeight="1" s="16">
      <c r="A282" t="n">
        <v>278</v>
      </c>
    </row>
    <row r="283" hidden="1" ht="15" customHeight="1" s="16">
      <c r="A283" t="n">
        <v>279</v>
      </c>
    </row>
    <row r="284" hidden="1" ht="15" customHeight="1" s="16">
      <c r="A284" t="n">
        <v>280</v>
      </c>
    </row>
    <row r="285" hidden="1" ht="15" customHeight="1" s="16">
      <c r="A285" t="n">
        <v>281</v>
      </c>
    </row>
    <row r="286" hidden="1" ht="15" customHeight="1" s="16">
      <c r="A286" t="n">
        <v>282</v>
      </c>
    </row>
    <row r="287" hidden="1" ht="15" customHeight="1" s="16">
      <c r="A287" t="n">
        <v>283</v>
      </c>
    </row>
    <row r="288" hidden="1" ht="15" customHeight="1" s="16">
      <c r="A288" t="n">
        <v>284</v>
      </c>
    </row>
    <row r="289" hidden="1" ht="15" customHeight="1" s="16">
      <c r="A289" t="n">
        <v>285</v>
      </c>
    </row>
    <row r="290" hidden="1" ht="15" customHeight="1" s="16">
      <c r="A290" t="n">
        <v>286</v>
      </c>
    </row>
    <row r="291" hidden="1" ht="15" customHeight="1" s="16">
      <c r="A291" t="n">
        <v>287</v>
      </c>
    </row>
    <row r="292" hidden="1" ht="15" customHeight="1" s="16">
      <c r="A292" t="n">
        <v>288</v>
      </c>
    </row>
    <row r="293" hidden="1" ht="15" customHeight="1" s="16">
      <c r="A293" t="n">
        <v>289</v>
      </c>
    </row>
    <row r="294" hidden="1" ht="15" customHeight="1" s="16">
      <c r="A294" t="n">
        <v>290</v>
      </c>
    </row>
    <row r="295" ht="15" customHeight="1" s="16">
      <c r="A295" t="n">
        <v>291</v>
      </c>
    </row>
    <row r="296" ht="15" customHeight="1" s="16">
      <c r="A296" t="n">
        <v>292</v>
      </c>
    </row>
    <row r="297" ht="15" customHeight="1" s="16">
      <c r="A297" t="n">
        <v>293</v>
      </c>
    </row>
    <row r="298" ht="15" customHeight="1" s="16">
      <c r="A298" t="n">
        <v>294</v>
      </c>
    </row>
    <row r="299" ht="15" customHeight="1" s="16">
      <c r="A299" t="n">
        <v>295</v>
      </c>
    </row>
    <row r="300" ht="15" customHeight="1" s="16">
      <c r="A300" t="n">
        <v>296</v>
      </c>
    </row>
    <row r="301" ht="15" customHeight="1" s="16">
      <c r="A301" t="n">
        <v>297</v>
      </c>
    </row>
    <row r="302" ht="15" customHeight="1" s="16">
      <c r="A302" t="n">
        <v>298</v>
      </c>
    </row>
    <row r="303" ht="15" customHeight="1" s="16">
      <c r="A303" t="n">
        <v>299</v>
      </c>
    </row>
    <row r="304" ht="15" customHeight="1" s="16">
      <c r="A304" t="n">
        <v>300</v>
      </c>
    </row>
    <row r="305" ht="15" customHeight="1" s="16">
      <c r="A305" t="n">
        <v>301</v>
      </c>
    </row>
    <row r="306" ht="15" customHeight="1" s="16">
      <c r="A306" t="n">
        <v>302</v>
      </c>
    </row>
    <row r="307" ht="15" customHeight="1" s="16">
      <c r="A307" t="n">
        <v>303</v>
      </c>
    </row>
    <row r="308" ht="15" customHeight="1" s="16">
      <c r="A308" t="n">
        <v>304</v>
      </c>
    </row>
    <row r="309" ht="15" customHeight="1" s="16">
      <c r="A309" t="n">
        <v>305</v>
      </c>
    </row>
    <row r="310" ht="15" customHeight="1" s="16">
      <c r="A310" t="n">
        <v>306</v>
      </c>
    </row>
    <row r="311" ht="15" customHeight="1" s="16">
      <c r="A311" t="n">
        <v>307</v>
      </c>
    </row>
    <row r="312" ht="15" customHeight="1" s="16">
      <c r="A312" t="n">
        <v>308</v>
      </c>
    </row>
    <row r="313" ht="15" customHeight="1" s="16">
      <c r="A313" t="n">
        <v>309</v>
      </c>
    </row>
    <row r="314" ht="15" customHeight="1" s="16">
      <c r="A314" t="n">
        <v>310</v>
      </c>
    </row>
    <row r="315" ht="15" customHeight="1" s="16">
      <c r="A315" t="n">
        <v>311</v>
      </c>
    </row>
    <row r="316" ht="15" customHeight="1" s="16">
      <c r="A316" t="n">
        <v>312</v>
      </c>
    </row>
    <row r="317" ht="15" customHeight="1" s="16">
      <c r="A317" t="n">
        <v>313</v>
      </c>
    </row>
    <row r="318" ht="15" customHeight="1" s="16">
      <c r="A318" t="n">
        <v>314</v>
      </c>
    </row>
    <row r="319" ht="15" customHeight="1" s="16">
      <c r="A319" t="n">
        <v>315</v>
      </c>
    </row>
    <row r="320" ht="15" customHeight="1" s="16">
      <c r="A320" t="n">
        <v>316</v>
      </c>
    </row>
    <row r="321" ht="15" customHeight="1" s="16">
      <c r="A321" t="n">
        <v>317</v>
      </c>
    </row>
    <row r="322" ht="15" customHeight="1" s="16">
      <c r="A322" t="n">
        <v>318</v>
      </c>
    </row>
    <row r="323" ht="15" customHeight="1" s="16">
      <c r="A323" t="n">
        <v>319</v>
      </c>
    </row>
    <row r="324" ht="15" customHeight="1" s="16">
      <c r="A324" t="n">
        <v>320</v>
      </c>
    </row>
    <row r="325" ht="15" customHeight="1" s="16">
      <c r="A325" t="n">
        <v>321</v>
      </c>
    </row>
    <row r="326" ht="15" customHeight="1" s="16">
      <c r="A326" t="n">
        <v>322</v>
      </c>
    </row>
    <row r="327" ht="15" customHeight="1" s="16">
      <c r="A327" t="n">
        <v>323</v>
      </c>
    </row>
    <row r="328" ht="15" customHeight="1" s="16">
      <c r="A328" t="n">
        <v>324</v>
      </c>
    </row>
    <row r="329" ht="15" customHeight="1" s="16">
      <c r="A329" t="n">
        <v>325</v>
      </c>
    </row>
    <row r="330" ht="15" customHeight="1" s="16">
      <c r="A330" t="n">
        <v>326</v>
      </c>
    </row>
    <row r="331" ht="15" customHeight="1" s="16">
      <c r="A331" t="n">
        <v>327</v>
      </c>
    </row>
    <row r="332" ht="15" customHeight="1" s="16">
      <c r="A332" t="n">
        <v>328</v>
      </c>
    </row>
    <row r="333" ht="15" customHeight="1" s="16">
      <c r="A333" t="n">
        <v>329</v>
      </c>
    </row>
    <row r="334" ht="15" customHeight="1" s="16">
      <c r="A334" t="n">
        <v>330</v>
      </c>
    </row>
    <row r="335" ht="15" customHeight="1" s="16">
      <c r="A335" t="n">
        <v>331</v>
      </c>
    </row>
    <row r="336" ht="15" customHeight="1" s="16">
      <c r="A336" t="n">
        <v>332</v>
      </c>
    </row>
    <row r="337" ht="15" customHeight="1" s="16">
      <c r="A337" t="n">
        <v>333</v>
      </c>
    </row>
    <row r="338" ht="15" customHeight="1" s="16">
      <c r="A338" t="n">
        <v>334</v>
      </c>
    </row>
    <row r="339" ht="15" customHeight="1" s="16">
      <c r="A339" t="n">
        <v>335</v>
      </c>
    </row>
    <row r="340" ht="15" customHeight="1" s="16">
      <c r="A340" t="n">
        <v>336</v>
      </c>
    </row>
    <row r="341" ht="15" customHeight="1" s="16">
      <c r="A341" t="n">
        <v>337</v>
      </c>
    </row>
    <row r="342" ht="15" customHeight="1" s="16">
      <c r="A342" t="n">
        <v>338</v>
      </c>
    </row>
    <row r="343" ht="15" customHeight="1" s="16">
      <c r="A343" t="n">
        <v>339</v>
      </c>
    </row>
    <row r="344" ht="15" customHeight="1" s="16">
      <c r="A344" t="n">
        <v>340</v>
      </c>
    </row>
    <row r="345" ht="15" customHeight="1" s="16">
      <c r="A345" t="n">
        <v>341</v>
      </c>
    </row>
    <row r="346" ht="15" customHeight="1" s="16">
      <c r="A346" t="n">
        <v>342</v>
      </c>
    </row>
    <row r="347" ht="15" customHeight="1" s="16">
      <c r="A347" t="n">
        <v>343</v>
      </c>
    </row>
    <row r="348" ht="15" customHeight="1" s="16">
      <c r="A348" t="n">
        <v>344</v>
      </c>
    </row>
    <row r="349" ht="15" customHeight="1" s="16">
      <c r="A349" t="n">
        <v>345</v>
      </c>
    </row>
  </sheetData>
  <autoFilter ref="A4:K279"/>
  <conditionalFormatting sqref="K115">
    <cfRule type="cellIs" priority="2" operator="equal" dxfId="2">
      <formula>"ОБСЛУЖИТЬ"</formula>
    </cfRule>
    <cfRule type="cellIs" priority="3" operator="equal" dxfId="1">
      <formula>"Внимание"</formula>
    </cfRule>
    <cfRule type="cellIs" priority="4" operator="equal" dxfId="0">
      <formula>"Не требуется"</formula>
    </cfRule>
  </conditionalFormatting>
  <conditionalFormatting sqref="K118:K119">
    <cfRule type="cellIs" priority="5" operator="equal" dxfId="2">
      <formula>"ОБСЛУЖИТЬ"</formula>
    </cfRule>
    <cfRule type="cellIs" priority="6" operator="equal" dxfId="1">
      <formula>"Внимание"</formula>
    </cfRule>
    <cfRule type="cellIs" priority="7" operator="equal" dxfId="0">
      <formula>"Не требуется"</formula>
    </cfRule>
  </conditionalFormatting>
  <conditionalFormatting sqref="K7:K8">
    <cfRule type="cellIs" priority="8" operator="equal" dxfId="2">
      <formula>"ОБСЛУЖИТЬ"</formula>
    </cfRule>
    <cfRule type="cellIs" priority="9" operator="equal" dxfId="1">
      <formula>"Внимание"</formula>
    </cfRule>
    <cfRule type="cellIs" priority="10" operator="equal" dxfId="0">
      <formula>"Не требуется"</formula>
    </cfRule>
  </conditionalFormatting>
  <conditionalFormatting sqref="K5:K6 K9:K114 K116:K117 K120:K279">
    <cfRule type="cellIs" priority="11" operator="equal" dxfId="2">
      <formula>"ОБСЛУЖИТЬ"</formula>
    </cfRule>
    <cfRule type="cellIs" priority="12" operator="equal" dxfId="1">
      <formula>"Внимание"</formula>
    </cfRule>
    <cfRule type="cellIs" priority="13" operator="equal" dxfId="0">
      <formula>"Не требуется"</formula>
    </cfRule>
  </conditionalFormatting>
  <pageMargins left="0.7" right="0.7" top="0.75" bottom="0.75" header="0.511811023622047" footer="0.511811023622047"/>
  <pageSetup orientation="landscape" paperSize="9" fitToHeight="0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4"/>
  <sheetViews>
    <sheetView zoomScale="120" zoomScaleNormal="120" workbookViewId="0">
      <selection activeCell="C23" sqref="C23"/>
    </sheetView>
  </sheetViews>
  <sheetFormatPr baseColWidth="8" defaultColWidth="11.5703125" defaultRowHeight="15" customHeight="1"/>
  <cols>
    <col width="18.5703125" customWidth="1" style="16" min="2" max="2"/>
  </cols>
  <sheetData>
    <row r="2">
      <c r="A2" t="inlineStr">
        <is>
          <t>Перечень</t>
        </is>
      </c>
    </row>
    <row r="3">
      <c r="B3" s="21" t="inlineStr">
        <is>
          <t>1 раз в неделю</t>
        </is>
      </c>
    </row>
    <row r="4">
      <c r="B4" s="21" t="inlineStr">
        <is>
          <t>1 раз в месяц в ППР</t>
        </is>
      </c>
    </row>
  </sheetData>
  <pageMargins left="0.7875" right="0.7875" top="1.025" bottom="1.025" header="0.7875" footer="0.7875"/>
  <pageSetup orientation="portrait" paperSize="9" horizontalDpi="300" verticalDpi="300"/>
  <headerFooter>
    <oddHeader>&amp;C&amp;"Arial,Обычный"&amp;10 &amp;Kffffff&amp;A</oddHeader>
    <oddFooter>&amp;C&amp;"Arial,Обычный"&amp;10 &amp;KffffffPage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Очкур Евгений Александрович</dc:creator>
  <dc:language>ru-RU</dc:language>
  <dcterms:created xsi:type="dcterms:W3CDTF">2015-06-05T18:19:34Z</dcterms:created>
  <dcterms:modified xsi:type="dcterms:W3CDTF">2026-01-08T19:22:08Z</dcterms:modified>
  <cp:lastModifiedBy>Артемий Семёнов</cp:lastModifiedBy>
  <cp:revision>123</cp:revision>
  <cp:lastPrinted>2025-09-11T21:47:28Z</cp:lastPrinted>
</cp:coreProperties>
</file>